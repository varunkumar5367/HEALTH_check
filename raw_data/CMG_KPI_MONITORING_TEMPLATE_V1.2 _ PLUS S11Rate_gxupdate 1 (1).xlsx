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tani\Downloads\"/>
    </mc:Choice>
  </mc:AlternateContent>
  <xr:revisionPtr revIDLastSave="0" documentId="13_ncr:1_{BABF9BE1-D290-4827-98C9-BB3FDF9825DA}" xr6:coauthVersionLast="47" xr6:coauthVersionMax="47" xr10:uidLastSave="{00000000-0000-0000-0000-000000000000}"/>
  <bookViews>
    <workbookView xWindow="-110" yWindow="-110" windowWidth="19420" windowHeight="11500" firstSheet="1" activeTab="2" xr2:uid="{13191093-CFEC-47DE-BF84-70E8E5308AFB}"/>
  </bookViews>
  <sheets>
    <sheet name="KPI_FORMULAS_CPF_Node" sheetId="4" r:id="rId1"/>
    <sheet name="KPI_FORMULAS_UPF-1_Node" sheetId="5" r:id="rId2"/>
    <sheet name="KPI_FORMULAS_UPF-2_Node" sheetId="7" r:id="rId3"/>
    <sheet name="COMMERCIAL" sheetId="2" r:id="rId4"/>
  </sheets>
  <definedNames>
    <definedName name="_xlnm._FilterDatabase" localSheetId="0" hidden="1">KPI_FORMULAS_CPF_Node!$B$2:$K$66</definedName>
    <definedName name="_xlnm._FilterDatabase" localSheetId="1" hidden="1">'KPI_FORMULAS_UPF-1_Node'!$B$2:$K$15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15" i="4"/>
  <c r="D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tc={0A37F06C-678E-4AAC-BA1F-79182233C1C7}</author>
    <author>tc={5A3C5BA1-A8C4-4124-BD15-3C1716444394}</author>
    <author>tc={73779BB9-1C72-46BE-A955-9A0786DA5A21}</author>
    <author>tc={A8231D9B-46DD-4436-9B6A-55792C2C5A07}</author>
    <author>tc={3BCC2702-898B-46C3-A8D9-F671D799A28D}</author>
    <author>tc={E5F87045-E8BC-47A3-8280-96601E94D3D7}</author>
    <author>tc={8454A93D-D4A9-43AF-8BDE-C92BF8F547E0}</author>
    <author>tc={20220C3F-1409-4286-9CDC-C734EBB21471}</author>
  </authors>
  <commentList>
    <comment ref="F6" authorId="0" shapeId="0" xr:uid="{0A37F06C-678E-4AAC-BA1F-79182233C1C7}">
      <text>
        <t>[Threaded comment]
Your version of Excel allows you to read this threaded comment; however, any edits to it will get removed if the file is opened in a newer version of Excel. Learn more: https://go.microsoft.com/fwlink/?linkid=870924
Comment:
    It was mentioned M47</t>
      </text>
    </comment>
    <comment ref="F29" authorId="1" shapeId="0" xr:uid="{5A3C5BA1-A8C4-4124-BD15-3C1716444394}">
      <text>
        <t>[Threaded comment]
Your version of Excel allows you to read this threaded comment; however, any edits to it will get removed if the file is opened in a newer version of Excel. Learn more: https://go.microsoft.com/fwlink/?linkid=870924
Comment:
    It was mentioned M89</t>
      </text>
    </comment>
    <comment ref="F30" authorId="2" shapeId="0" xr:uid="{73779BB9-1C72-46BE-A955-9A0786DA5A21}">
      <text>
        <t>[Threaded comment]
Your version of Excel allows you to read this threaded comment; however, any edits to it will get removed if the file is opened in a newer version of Excel. Learn more: https://go.microsoft.com/fwlink/?linkid=870924
Comment:
    It was mentioned M89</t>
      </text>
    </comment>
    <comment ref="F35" authorId="3" shapeId="0" xr:uid="{A8231D9B-46DD-4436-9B6A-55792C2C5A07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M40,M43,M44</t>
      </text>
    </comment>
    <comment ref="F37" authorId="4" shapeId="0" xr:uid="{3BCC2702-898B-46C3-A8D9-F671D799A28D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M43</t>
      </text>
    </comment>
    <comment ref="F39" authorId="5" shapeId="0" xr:uid="{E5F87045-E8BC-47A3-8280-96601E94D3D7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M55</t>
      </text>
    </comment>
    <comment ref="C42" authorId="6" shapeId="0" xr:uid="{8454A93D-D4A9-43AF-8BDE-C92BF8F547E0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Counter Not Found</t>
      </text>
    </comment>
    <comment ref="C44" authorId="7" shapeId="0" xr:uid="{20220C3F-1409-4286-9CDC-C734EBB21471}">
      <text>
        <t>[Threaded comment]
Your version of Excel allows you to read this threaded comment; however, any edits to it will get removed if the file is opened in a newer version of Excel. Learn more: https://go.microsoft.com/fwlink/?linkid=870924
Comment:
    KPI Not Found</t>
      </text>
    </comment>
  </commentList>
</comments>
</file>

<file path=xl/sharedStrings.xml><?xml version="1.0" encoding="utf-8"?>
<sst xmlns="http://schemas.openxmlformats.org/spreadsheetml/2006/main" count="868" uniqueCount="241">
  <si>
    <t>S. No.</t>
  </si>
  <si>
    <t>KPI NAME</t>
  </si>
  <si>
    <t>KPI FORMULA</t>
  </si>
  <si>
    <t>FORMULA_TYPE</t>
  </si>
  <si>
    <t>MEASUREMENT</t>
  </si>
  <si>
    <t>AGGREGATION_RULE</t>
  </si>
  <si>
    <t>GROUPING_RULE</t>
  </si>
  <si>
    <t>BUSY_HOUR</t>
  </si>
  <si>
    <t>FILTER</t>
  </si>
  <si>
    <t>REMARKS</t>
  </si>
  <si>
    <t>GGSN PDP_Combined</t>
  </si>
  <si>
    <t>VS.numberOfIpv4PdpContexts + VS.numberOfIpv6PdpContexts + VS.numberOfIpv4v6PdpContexts</t>
  </si>
  <si>
    <t>KPI_BASED</t>
  </si>
  <si>
    <t>KCIBearerManagementApnCP-ISA</t>
  </si>
  <si>
    <t>sum</t>
  </si>
  <si>
    <t>day</t>
  </si>
  <si>
    <t>GGSN_PDP_Capacity</t>
  </si>
  <si>
    <t>COMMERCIAL</t>
  </si>
  <si>
    <t>As per Commercial aggreement</t>
  </si>
  <si>
    <t>GGSN PDP_Utilization_Combined</t>
  </si>
  <si>
    <t>(GGSN PDP_Combined) * 100/GGSN_PDP_Capacity</t>
  </si>
  <si>
    <t>IGNORE</t>
  </si>
  <si>
    <t>GGSN PDP SR_Combined</t>
  </si>
  <si>
    <t xml:space="preserve">(VS.createpdprsp - (VS.createpdprspfail + VS.netinitpdprspfail)) * 100/ (VS.createpdpreq) </t>
  </si>
  <si>
    <t>KPIReferencePointGN</t>
  </si>
  <si>
    <t>hour</t>
  </si>
  <si>
    <t>Gn PDP Success ratio</t>
  </si>
  <si>
    <t>GGSN SGW Bearer_Combined</t>
  </si>
  <si>
    <t>VS.numberOfBearers</t>
  </si>
  <si>
    <t>KCIBearerManagementSGWCP-ISA</t>
  </si>
  <si>
    <t>Only SGW (  KCIBearerManagementSGWCP-ISA)</t>
  </si>
  <si>
    <t>GGSN Sgw-PgwCmbBearers</t>
  </si>
  <si>
    <t>VS.numberOfSgwPgwCmbBearers</t>
  </si>
  <si>
    <t>KCIBearerManagementPGWCP-ISA</t>
  </si>
  <si>
    <t>SPGW mode</t>
  </si>
  <si>
    <t>GGSN PGW Only Bearer</t>
  </si>
  <si>
    <t>PGW Only</t>
  </si>
  <si>
    <t>SGW_Bearer_Capacity</t>
  </si>
  <si>
    <t>GGSN SGW Bearer_Utilization_Combined</t>
  </si>
  <si>
    <t>(GGSN SGW Bearer_Combined + GGSN PGW Bearer_Combined)*100/GGSN_PGW_Bearer_Capacity</t>
  </si>
  <si>
    <t>max</t>
  </si>
  <si>
    <t>GGSN PGW Bearer_Combined</t>
  </si>
  <si>
    <t>Only PGW / SGW-PGW Combo  (KCIBearerManagementApnCP-ISA)</t>
  </si>
  <si>
    <t>&lt;measObjLdn&gt;not contains{ims}</t>
  </si>
  <si>
    <t>GGSN PGW Bearer_IMS</t>
  </si>
  <si>
    <t>&lt;measObjLdn&gt;contains{ims}</t>
  </si>
  <si>
    <t>GGSN_PGW_Bearer_Capacity</t>
  </si>
  <si>
    <t>GGSN PGW Bearer_Utilization_Combined</t>
  </si>
  <si>
    <t>GGSN Bearer Creation SR _Combined</t>
  </si>
  <si>
    <t>(VS.CreateBearerRespSuccess) * 100 / (VS.CreateBearerRespSuccess + VS.CreateBearerRespFail)</t>
  </si>
  <si>
    <t>KPIReferencePointS11,KPIReferencePointS5,KPIReferencePointS2B</t>
  </si>
  <si>
    <t>KPIReferencePointS11</t>
  </si>
  <si>
    <t>GGSN_Modify Bearer SR_Combined</t>
  </si>
  <si>
    <t>(VS.ModifyBearerRespSuccess) *  100 / (VS.ModifyBearerReq)</t>
  </si>
  <si>
    <t>GGSN GX SR _Combined</t>
  </si>
  <si>
    <t>(VS.rxccai+VS.rxccau+VS.rxccat-VS.rxccaifail-VS.rxccatfail-VS.rxccaufail) * 100 / (VS.txccri+VS.txccru+VS.txccrt)</t>
  </si>
  <si>
    <t>KPIReferencePointGX</t>
  </si>
  <si>
    <t>GGSN GY SR _Combined</t>
  </si>
  <si>
    <t>KPIReferencePointGY</t>
  </si>
  <si>
    <t xml:space="preserve"> KPIReferencePointGY</t>
  </si>
  <si>
    <t>GX_CCR_I SR_Combined</t>
  </si>
  <si>
    <t>(VS.rxccai-VS.rxccaifail) * 100 / (VS.txccri)</t>
  </si>
  <si>
    <t>GX_CCR_T SR_Combined</t>
  </si>
  <si>
    <t>(VS.rxccat-VS.rxccatfail) * 100 / (VS.txccrt)</t>
  </si>
  <si>
    <t>GX_CCR_U SR_Combined</t>
  </si>
  <si>
    <t>(VS.rxccau-VS.rxccaufail) * 100 / (VS.txccru)</t>
  </si>
  <si>
    <t>Gx_CCR_SR_Airtelgprs_google</t>
  </si>
  <si>
    <t>(VS.rxccai+VS.rxccau+VS.rxccat) * 100 / (VS.txccri+VS.txccru+VS.txccrt)</t>
  </si>
  <si>
    <t>AIRTELGPRS PCRF IP ( PEER WISE)</t>
  </si>
  <si>
    <t>Gx_CCR_SR_IMS_google</t>
  </si>
  <si>
    <t>IMS PCRF IP ( PEER WISE)</t>
  </si>
  <si>
    <t>GY_CCR_I SR_Combined</t>
  </si>
  <si>
    <t>( KPIReferencePointGY )</t>
  </si>
  <si>
    <t>GY_CCR_T SR_Combined</t>
  </si>
  <si>
    <t>GY_CCR_U SR_Combined</t>
  </si>
  <si>
    <t>Default_Bearer_Paging_SR_google</t>
  </si>
  <si>
    <t>(VS.pagingAttempts-VS.pagingFailures-VS.pagingTimeouts) *100 / VS.pagingAttempts</t>
  </si>
  <si>
    <t>KPIBearerManagementSgwQciCP-ISA</t>
  </si>
  <si>
    <t>Default_Bearer_Paging_Timeout_Ratio_google</t>
  </si>
  <si>
    <t xml:space="preserve">(VS.pagingTimeouts) * 100 / VS.pagingAttempts </t>
  </si>
  <si>
    <t>Based on QCI basis counters</t>
  </si>
  <si>
    <t>Session_Activation_SR_Airtelgprs_IMS_google</t>
  </si>
  <si>
    <t>(VS.eUtranSessionActivationSuccessful + VS.cmbEutranSessionActivationSuccessful) * 100 / (VS.eUtranSessionActivationSuccessful + VS.eUtranSessionActivationFailures + VS.cmbEutranSessionActivationSuccessful + VS.cmbEutranSessionActivationFailures)</t>
  </si>
  <si>
    <t>KPIBearerManagementApnCP-ISA</t>
  </si>
  <si>
    <t xml:space="preserve">
KPIBearerManagementApnCP-ISA 
</t>
  </si>
  <si>
    <t>Session_Activation_SR_Airtelgprs_google</t>
  </si>
  <si>
    <t xml:space="preserve">
KPIBearerManagementApnCP-ISA ( Other than APN Name IMS*)
</t>
  </si>
  <si>
    <t>Session_Activation_SR_IMS_google</t>
  </si>
  <si>
    <t xml:space="preserve">
KPIBearerManagementApnCP-ISA ( APN Name IMS*)
</t>
  </si>
  <si>
    <t>bearer_setup_SR_IMS_Qci 1</t>
  </si>
  <si>
    <t>(VS.eUtranDedicatedBearerActivationByPgwPcrf) * 100 / (VS.eUtranDedicatedBearerActivationFailures + VS.eUtranDedicatedBearerActivationByPgwPcrf)</t>
  </si>
  <si>
    <t xml:space="preserve">
KPIBearerManagementApnCP-ISA
</t>
  </si>
  <si>
    <t>bearer_setup_SR_IMS_Qci 5</t>
  </si>
  <si>
    <t>((VS.CreateBearerRespSuccess) * 100 / (VS.CreateBearerRespSuccess + VS.CreateBearerRespFail))</t>
  </si>
  <si>
    <t>KPIReferencePointS11,KPIReferencePointS8,KPIReferencePointS5</t>
  </si>
  <si>
    <t>Addition of (KPIReferencePointS11 + KPIReferencePointS8 + KPIReferencePointS5)</t>
  </si>
  <si>
    <t>voice_bearer_setup_success_ratio_ S11-SGW-QCI-5</t>
  </si>
  <si>
    <t>voice_bearer_setup_success_ratio_S5-S8-PGW-QCI-1</t>
  </si>
  <si>
    <t>KPIReferencePointS8,KPIReferencePointS5</t>
  </si>
  <si>
    <t>KPIReferencePointS5</t>
  </si>
  <si>
    <t xml:space="preserve"> voice_session_creation_success_ratio </t>
  </si>
  <si>
    <t>(VS.numberOfAttachSuccessful) * 100 / (VS.numberOfAttachSuccessful+ VS.numberOfAttachFailuresFCC68ServNotSuprt + VS.numberOfAttachFailuresFCC72SystemFailure + VS.numberOfAttachFailuresFCC73NoRsourcs +
 VS.numberOfAttachFailuresFCC83PrfPdnTypNoSprt +  VS.numberOfAttachFailuresFCC92UsrAuthFailed + VS.numberOfAttachFailuresOtherFailures + VS.attachManualRestrictionRejection +
 VS.attachFailApnBlockPdnType +  VS.numberOfAttachFailuresMissingOrUnknownApn)</t>
  </si>
  <si>
    <t>KPIBearerManagementApnCP-ISA  ( for IMS APN combined on S5, S8 &amp; S11)</t>
  </si>
  <si>
    <t>voice_session_creation_success_ratio_S2B-PGW</t>
  </si>
  <si>
    <t>(VS.createsessnrespsuccess) *  100 / (VS.createsessnrespsuccess + VS.createsessnrespfail)</t>
  </si>
  <si>
    <t>KPIReferencePointS2B</t>
  </si>
  <si>
    <t>PGW_User_Session_Count_Airtelgprs_Day_Max</t>
  </si>
  <si>
    <t>VS.numberOfIpv4LocalPoolSessions + VS.numberOfIpv6LocalPoolSessions + VS.numberOfIpv4v6LocalPoolSessions</t>
  </si>
  <si>
    <t>Interface wise, Procedue wise, APN wise required</t>
  </si>
  <si>
    <t>PGW_User_Session_Count_IMS_Day_Max</t>
  </si>
  <si>
    <t>KCIBearerManagementApnCP-ISA  ( APN Name IMS*)</t>
  </si>
  <si>
    <t>VS.activeDefaultSgwBearers</t>
  </si>
  <si>
    <t>KCIBearerManagementApnQci</t>
  </si>
  <si>
    <t xml:space="preserve"> KCIBearerManagementApnQci  ( APN Name !=IMS*)</t>
  </si>
  <si>
    <t>pgw_user_sessions_vowifi_Day_Max</t>
  </si>
  <si>
    <t>VS.numberOfIpv4WlanS2bSessions + VS.numberOfIpv6WlanS2bSessions + VS.numberOfIpv4v6WlanS2bSessions</t>
  </si>
  <si>
    <t>KCIBearerManagementApnCPISA</t>
  </si>
  <si>
    <t>SGW_User_Session_Count_IMS_Day</t>
  </si>
  <si>
    <t xml:space="preserve"> KCIBearerManagementApnQci  ( APN Name IMS*)</t>
  </si>
  <si>
    <t>(VS.dataPathDlDroppedPackets+VS.dataPathUlDroppedPackets) * 100 / (VS.PgwGtpDlEgressPackets+VS.PgwGtpUlEgressPackets)</t>
  </si>
  <si>
    <t>KPIBearerTrafficApnCP-ISA</t>
  </si>
  <si>
    <t>NEW KPI ( APN wise drop available)</t>
  </si>
  <si>
    <t>APN_airtelgprscom_IPV4 count</t>
  </si>
  <si>
    <t xml:space="preserve">
VS.reservedIpV4Addresses + VS.heldIpV4Addresses</t>
  </si>
  <si>
    <t>KCIControlPlaneIpPool</t>
  </si>
  <si>
    <t>per POOL</t>
  </si>
  <si>
    <t>APN_airtelgprscom_IPV4_%</t>
  </si>
  <si>
    <t>(VS.reservedIpV4Addresses + VS.heldIpV4Addresses) * 100 / (VS.totalIpV4Addresses)</t>
  </si>
  <si>
    <t>APN_airtelgprscom_IPV6 count</t>
  </si>
  <si>
    <t xml:space="preserve">
VS.reservedIpV6Addresses + VS.heldIpV6Addresses</t>
  </si>
  <si>
    <t>APN_airtelgprscom_IPV6_%</t>
  </si>
  <si>
    <t>(VS.reservedIpV6Addresses + VS.heldIpV6Addresses) * 100 / (VS.totalIpV6Addresses)</t>
  </si>
  <si>
    <t>APN_IMS_IPV4 count</t>
  </si>
  <si>
    <t>APN_IMS_IPV4_%</t>
  </si>
  <si>
    <t>(VS.reservedIpV4Addresses + VS.heldIpV4Addresses) * 100 / VS.totalIpV4Addresses</t>
  </si>
  <si>
    <t>APN_IMS_IPV6 count</t>
  </si>
  <si>
    <t>APN_IMS_IPV6_%</t>
  </si>
  <si>
    <t>Memory_Utilization_CUPS_MAX</t>
  </si>
  <si>
    <t>VS.maxMemoryUtilization</t>
  </si>
  <si>
    <t>KPISystemCPM,KCISystemCP-ISA</t>
  </si>
  <si>
    <t>CPU_Utilization_CPF_MAX</t>
  </si>
  <si>
    <t>VS.maxCpuUtilization</t>
  </si>
  <si>
    <t>packet drop rate %</t>
  </si>
  <si>
    <t>(NEW KPI) APN wise drop available</t>
  </si>
  <si>
    <t>Outromer count_CUPS</t>
  </si>
  <si>
    <t>VS.numberOfRoamers</t>
  </si>
  <si>
    <t>Session Establishment Success Rate -Sx CPF</t>
  </si>
  <si>
    <t>(VS.sessEstablishRsp) * 100 / (VS.sessEstablishReq)</t>
  </si>
  <si>
    <t>KPIReferencePointPFCP</t>
  </si>
  <si>
    <t>Session Modification Success Rate -Sx_CUPS</t>
  </si>
  <si>
    <t xml:space="preserve">(VS.sessModifyRsp) * 100 / (VS.sessModifyReq) </t>
  </si>
  <si>
    <t>Session Report Reporting Success Rate -Sx_CUPS</t>
  </si>
  <si>
    <t xml:space="preserve">(VS.sessReportRsp) * 100 / (VS.sessReportReq) </t>
  </si>
  <si>
    <t>Memory Utlization_Avg</t>
  </si>
  <si>
    <t>VS.avgMemoryUtilization</t>
  </si>
  <si>
    <t>KPISystemCPM,KPISystemCP-ISA</t>
  </si>
  <si>
    <t>CPU Utilization_Avg</t>
  </si>
  <si>
    <t>VS.avgCpuUtilization</t>
  </si>
  <si>
    <t>Secondary RAT Usage UL/DL  ( P/S Gateway) Mbps</t>
  </si>
  <si>
    <t>(VS.secondaryRat5gNrDlBytes + VS.secondaryRat5gNrUlBytes) * 8 / (1024*1024*900)</t>
  </si>
  <si>
    <t>KPIBearerTrafficMSMPGW</t>
  </si>
  <si>
    <t xml:space="preserve">For CMG-Control </t>
  </si>
  <si>
    <t>5G_NSA Users</t>
  </si>
  <si>
    <t>VS.plcyRuleBaseUsers</t>
  </si>
  <si>
    <t>KCIPolicyRuleBaseUsers</t>
  </si>
  <si>
    <t>&lt;measObjLdn&gt;contains{5G}</t>
  </si>
  <si>
    <t>5G NSA users</t>
  </si>
  <si>
    <t>AIRTEL GPRS SGW users</t>
  </si>
  <si>
    <t>IMS SGW users</t>
  </si>
  <si>
    <t>GGSN Thpt_Gbps_Combined</t>
  </si>
  <si>
    <t>(VS.ulBytes+VS.dlBytes)* 8/( 1024 * 1024 * 1024*900)</t>
  </si>
  <si>
    <t>KCIDataPlaneMSM</t>
  </si>
  <si>
    <t>min</t>
  </si>
  <si>
    <t>Thrpt_Capacity</t>
  </si>
  <si>
    <t>GGSN Thpt_Utilization_Gbps_Combined</t>
  </si>
  <si>
    <t>(GGSN Thpt_Gbps_Combined) * 100/ Thrpt_Capacity</t>
  </si>
  <si>
    <t>(GGSN SGW Bearer_Combained + GGSN PGW Bearer_Combained)*100/GGSN_PGW_Bearer_Capacity</t>
  </si>
  <si>
    <t>PGW_Thpt_Gbps</t>
  </si>
  <si>
    <t>(VS.GgsnV1UlEgressOctets+VS.GgsnV1DlEgressOctets+VS.PgwGtpUlEgressOctets+VS.PgwGtpDlEgressOctets)* 8/( 1024 * 1024 * 1024*900)</t>
  </si>
  <si>
    <t>GI Throghput</t>
  </si>
  <si>
    <t>SGW_Thpt_Gbps</t>
  </si>
  <si>
    <t>(VS.sgwOnlyUlMaxMbps + VS.sgwOnlyDlMaxMbps) / 1024</t>
  </si>
  <si>
    <t>KPIBearerTrafficMSMSGW</t>
  </si>
  <si>
    <t>SGW OnlyThroghput</t>
  </si>
  <si>
    <t>CPU0_Memory_Utilization_CUPS_MAX</t>
  </si>
  <si>
    <t>Upf-CmbPdnSessions</t>
  </si>
  <si>
    <t>VS.numberOfUpfCmbPdnSessions</t>
  </si>
  <si>
    <t>KCIBearerManagementUpfCP-ISA</t>
  </si>
  <si>
    <t>numberOfUpfCmbBearers</t>
  </si>
  <si>
    <t>VS.numberOfUpfCmbBearers</t>
  </si>
  <si>
    <t>Session Establishment Success Rate -Sx UP_CUPS</t>
  </si>
  <si>
    <t>CPU_Utilization_UPF_MAX</t>
  </si>
  <si>
    <t>NodeType</t>
  </si>
  <si>
    <t>KPI</t>
  </si>
  <si>
    <t>Type</t>
  </si>
  <si>
    <t>Remark</t>
  </si>
  <si>
    <t>HW</t>
  </si>
  <si>
    <t>SW</t>
  </si>
  <si>
    <t>Threshold</t>
  </si>
  <si>
    <t>Comments</t>
  </si>
  <si>
    <t>CMM</t>
  </si>
  <si>
    <t>CPU avg load (%)</t>
  </si>
  <si>
    <t>Capacity</t>
  </si>
  <si>
    <t>Recommended Threshold Required</t>
  </si>
  <si>
    <t>NA</t>
  </si>
  <si>
    <t>Will share threshold -WIP</t>
  </si>
  <si>
    <t>CPU Max load (%)</t>
  </si>
  <si>
    <t>SAU 2G_Combined Capacity</t>
  </si>
  <si>
    <t>HW and SW Supported Capacity Required along with Sample Calculation</t>
  </si>
  <si>
    <t>SAU 4G_Combined Capacity</t>
  </si>
  <si>
    <t>4G Active bearers_Max Capacity</t>
  </si>
  <si>
    <t>PDP 2G Capacity</t>
  </si>
  <si>
    <t>SGSN Thpt_Mbps Capacity</t>
  </si>
  <si>
    <t>Mean Memory Usages</t>
  </si>
  <si>
    <t>Max Memory Usages</t>
  </si>
  <si>
    <t>Capacity_CPPS TPS</t>
  </si>
  <si>
    <t>CPPS 4G  ( TPS)</t>
  </si>
  <si>
    <t>Capacity_IPDS Msg Per Sec</t>
  </si>
  <si>
    <t>IPDS</t>
  </si>
  <si>
    <t>Capacity_PAPS TPS</t>
  </si>
  <si>
    <t>PAPS</t>
  </si>
  <si>
    <t>SAU 5G NSA capacity</t>
  </si>
  <si>
    <t>Capacity HW/SW</t>
  </si>
  <si>
    <t>CMG-UPF</t>
  </si>
  <si>
    <t>HW and SW Supported Capacity(Node/MG level) Required along with Sample Calculation</t>
  </si>
  <si>
    <t>Per MG 16.66 Gbps</t>
  </si>
  <si>
    <t>Combined P/S Gateway capacity ( 300K per MG )</t>
  </si>
  <si>
    <t>PGW_Thpt_Mbps</t>
  </si>
  <si>
    <t>Combined P/S Gateway Capacity</t>
  </si>
  <si>
    <t>SGW_Thpt_Mbps</t>
  </si>
  <si>
    <t>Memory_Utilization_CUPS_Avg</t>
  </si>
  <si>
    <t>Memory_Utilization_CUPS_Max</t>
  </si>
  <si>
    <t>CPU_Utilization_CUPS_Avg</t>
  </si>
  <si>
    <t>CPU_Utilization_CUPS_Max</t>
  </si>
  <si>
    <t>CMG-CPF</t>
  </si>
  <si>
    <t>Combined P/S Gateway capacity( 1Mn per MG)</t>
  </si>
  <si>
    <t>S11 CSR_SRATE</t>
  </si>
  <si>
    <t>(VS.CreateSessnRespSuccess) *  100 / (VS.CreateSessnReq)</t>
  </si>
  <si>
    <t>GGSN PGW Bearer_GPRS</t>
  </si>
  <si>
    <t>SGW_User_Session_Count_gprs_Day_Max</t>
  </si>
  <si>
    <t>gprs APN packet drop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</si>
</sst>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71DAFF"/>
      </top>
      <bottom style="thin">
        <color rgb="FF71DAFF"/>
      </bottom>
      <diagonal/>
    </border>
    <border>
      <left/>
      <right/>
      <top style="thin">
        <color rgb="FF71DAFF"/>
      </top>
      <bottom style="thin">
        <color rgb="FF71DAFF"/>
      </bottom>
      <diagonal/>
    </border>
    <border>
      <left/>
      <right style="medium">
        <color indexed="64"/>
      </right>
      <top style="thin">
        <color rgb="FF71DAFF"/>
      </top>
      <bottom style="thin">
        <color rgb="FF71DAFF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/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71DAFF"/>
      </top>
      <bottom/>
      <diagonal/>
    </border>
    <border>
      <left/>
      <right/>
      <top style="thin">
        <color rgb="FF71DAFF"/>
      </top>
      <bottom/>
      <diagonal/>
    </border>
    <border>
      <left/>
      <right style="medium">
        <color indexed="64"/>
      </right>
      <top style="thin">
        <color rgb="FF71DAFF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wrapText="1"/>
    </xf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2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0" fontId="0" fillId="3" borderId="7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0" fontId="0" fillId="3" borderId="11" xfId="0" applyNumberFormat="1" applyFill="1" applyBorder="1" applyAlignment="1">
      <alignment horizontal="center" vertical="center"/>
    </xf>
    <xf numFmtId="0" fontId="0" fillId="3" borderId="13" xfId="0" applyFill="1" applyBorder="1"/>
    <xf numFmtId="0" fontId="0" fillId="3" borderId="14" xfId="0" applyFill="1" applyBorder="1"/>
    <xf numFmtId="0" fontId="0" fillId="3" borderId="14" xfId="0" applyFill="1" applyBorder="1" applyAlignment="1">
      <alignment horizontal="center" vertical="center"/>
    </xf>
    <xf numFmtId="10" fontId="0" fillId="3" borderId="14" xfId="0" applyNumberFormat="1" applyFill="1" applyBorder="1" applyAlignment="1">
      <alignment horizontal="center" vertical="center"/>
    </xf>
    <xf numFmtId="0" fontId="0" fillId="3" borderId="15" xfId="0" applyFill="1" applyBorder="1"/>
    <xf numFmtId="0" fontId="0" fillId="3" borderId="16" xfId="0" applyFill="1" applyBorder="1"/>
    <xf numFmtId="0" fontId="0" fillId="3" borderId="16" xfId="0" applyFill="1" applyBorder="1" applyAlignment="1">
      <alignment horizontal="center" vertical="center"/>
    </xf>
    <xf numFmtId="10" fontId="0" fillId="3" borderId="16" xfId="0" applyNumberFormat="1" applyFill="1" applyBorder="1" applyAlignment="1">
      <alignment horizontal="center" vertical="center"/>
    </xf>
    <xf numFmtId="0" fontId="0" fillId="3" borderId="17" xfId="0" applyFill="1" applyBorder="1"/>
    <xf numFmtId="0" fontId="0" fillId="3" borderId="17" xfId="0" applyFill="1" applyBorder="1" applyAlignment="1">
      <alignment horizontal="center" vertical="center"/>
    </xf>
    <xf numFmtId="10" fontId="0" fillId="3" borderId="17" xfId="0" applyNumberFormat="1" applyFill="1" applyBorder="1" applyAlignment="1">
      <alignment horizontal="center" vertical="center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1" fillId="2" borderId="2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/>
    <xf numFmtId="49" fontId="4" fillId="0" borderId="22" xfId="0" applyNumberFormat="1" applyFont="1" applyBorder="1"/>
    <xf numFmtId="49" fontId="4" fillId="0" borderId="22" xfId="0" applyNumberFormat="1" applyFont="1" applyBorder="1" applyAlignment="1">
      <alignment horizontal="left"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0" fillId="0" borderId="22" xfId="0" applyBorder="1" applyAlignment="1">
      <alignment horizontal="left" wrapText="1"/>
    </xf>
    <xf numFmtId="0" fontId="0" fillId="0" borderId="22" xfId="0" applyBorder="1"/>
    <xf numFmtId="0" fontId="0" fillId="4" borderId="5" xfId="0" applyFill="1" applyBorder="1"/>
    <xf numFmtId="49" fontId="4" fillId="4" borderId="22" xfId="0" applyNumberFormat="1" applyFont="1" applyFill="1" applyBorder="1"/>
    <xf numFmtId="0" fontId="3" fillId="0" borderId="5" xfId="0" applyFont="1" applyBorder="1"/>
    <xf numFmtId="0" fontId="0" fillId="0" borderId="5" xfId="0" applyBorder="1"/>
    <xf numFmtId="0" fontId="0" fillId="3" borderId="23" xfId="0" applyFill="1" applyBorder="1"/>
    <xf numFmtId="0" fontId="0" fillId="3" borderId="24" xfId="0" applyFill="1" applyBorder="1"/>
    <xf numFmtId="0" fontId="3" fillId="3" borderId="24" xfId="0" applyFont="1" applyFill="1" applyBorder="1"/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/>
    <xf numFmtId="0" fontId="0" fillId="3" borderId="22" xfId="0" applyFill="1" applyBorder="1"/>
    <xf numFmtId="0" fontId="0" fillId="3" borderId="22" xfId="0" applyFill="1" applyBorder="1" applyAlignment="1">
      <alignment horizontal="center" vertical="center"/>
    </xf>
    <xf numFmtId="0" fontId="3" fillId="3" borderId="22" xfId="0" applyFont="1" applyFill="1" applyBorder="1"/>
    <xf numFmtId="0" fontId="0" fillId="4" borderId="22" xfId="0" applyFill="1" applyBorder="1"/>
    <xf numFmtId="49" fontId="4" fillId="5" borderId="22" xfId="0" applyNumberFormat="1" applyFont="1" applyFill="1" applyBorder="1"/>
    <xf numFmtId="0" fontId="0" fillId="6" borderId="5" xfId="0" applyFill="1" applyBorder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71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un Singh (Nokia)" id="{331A21AA-ABE3-4A1C-B385-4276864EB30B}" userId="S::arun.singh@nokia.com::b313f69e-cea3-4182-9de5-b714742b03d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3-02-13T15:23:17.93" personId="{331A21AA-ABE3-4A1C-B385-4276864EB30B}" id="{0A37F06C-678E-4AAC-BA1F-79182233C1C7}">
    <text>It was mentioned M47</text>
  </threadedComment>
  <threadedComment ref="F29" dT="2023-02-13T15:24:54.12" personId="{331A21AA-ABE3-4A1C-B385-4276864EB30B}" id="{5A3C5BA1-A8C4-4124-BD15-3C1716444394}">
    <text>It was mentioned M89</text>
  </threadedComment>
  <threadedComment ref="F30" dT="2023-02-13T15:24:54.12" personId="{331A21AA-ABE3-4A1C-B385-4276864EB30B}" id="{73779BB9-1C72-46BE-A955-9A0786DA5A21}">
    <text>It was mentioned M89</text>
  </threadedComment>
  <threadedComment ref="F35" dT="2023-02-13T15:31:14.65" personId="{331A21AA-ABE3-4A1C-B385-4276864EB30B}" id="{A8231D9B-46DD-4436-9B6A-55792C2C5A07}">
    <text>Earlier M40,M43,M44</text>
  </threadedComment>
  <threadedComment ref="F37" dT="2023-02-13T15:31:56.13" personId="{331A21AA-ABE3-4A1C-B385-4276864EB30B}" id="{3BCC2702-898B-46C3-A8D9-F671D799A28D}">
    <text>Earlier M43</text>
  </threadedComment>
  <threadedComment ref="F39" dT="2023-02-13T15:33:23.06" personId="{331A21AA-ABE3-4A1C-B385-4276864EB30B}" id="{E5F87045-E8BC-47A3-8280-96601E94D3D7}">
    <text>Earlier M55</text>
  </threadedComment>
  <threadedComment ref="C42" dT="2023-02-13T15:35:23.79" personId="{331A21AA-ABE3-4A1C-B385-4276864EB30B}" id="{8454A93D-D4A9-43AF-8BDE-C92BF8F547E0}">
    <text>Counter Not Found</text>
  </threadedComment>
  <threadedComment ref="C44" dT="2023-02-13T15:36:29.49" personId="{331A21AA-ABE3-4A1C-B385-4276864EB30B}" id="{20220C3F-1409-4286-9CDC-C734EBB21471}">
    <text>KPI Not Found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358B-CB96-4416-AB1D-9A9143463AF6}">
  <sheetPr filterMode="1"/>
  <dimension ref="B1:K69"/>
  <sheetViews>
    <sheetView topLeftCell="C51" workbookViewId="0">
      <selection activeCell="C69" sqref="C69"/>
    </sheetView>
  </sheetViews>
  <sheetFormatPr defaultRowHeight="14.5" x14ac:dyDescent="0.35"/>
  <cols>
    <col min="2" max="2" width="8.453125" bestFit="1" customWidth="1"/>
    <col min="3" max="3" width="48.81640625" bestFit="1" customWidth="1"/>
    <col min="4" max="4" width="96" customWidth="1"/>
    <col min="5" max="5" width="17.7265625" customWidth="1"/>
    <col min="6" max="6" width="29.26953125" bestFit="1" customWidth="1"/>
    <col min="7" max="7" width="22.453125" customWidth="1"/>
    <col min="8" max="8" width="18.81640625" customWidth="1"/>
    <col min="9" max="9" width="16.453125" bestFit="1" customWidth="1"/>
    <col min="10" max="10" width="30.26953125" bestFit="1" customWidth="1"/>
    <col min="11" max="11" width="76" bestFit="1" customWidth="1"/>
  </cols>
  <sheetData>
    <row r="1" spans="2:11" ht="15" thickBot="1" x14ac:dyDescent="0.4"/>
    <row r="2" spans="2:11" x14ac:dyDescent="0.35">
      <c r="B2" s="1" t="s">
        <v>0</v>
      </c>
      <c r="C2" s="2" t="s">
        <v>1</v>
      </c>
      <c r="D2" s="2" t="s">
        <v>2</v>
      </c>
      <c r="E2" s="2" t="s">
        <v>3</v>
      </c>
      <c r="F2" s="38" t="s">
        <v>4</v>
      </c>
      <c r="G2" s="38" t="s">
        <v>5</v>
      </c>
      <c r="H2" s="38" t="s">
        <v>6</v>
      </c>
      <c r="I2" s="38" t="s">
        <v>7</v>
      </c>
      <c r="J2" s="38" t="s">
        <v>8</v>
      </c>
      <c r="K2" s="3" t="s">
        <v>9</v>
      </c>
    </row>
    <row r="3" spans="2:11" x14ac:dyDescent="0.35">
      <c r="B3" s="4">
        <v>1</v>
      </c>
      <c r="C3" s="49" t="s">
        <v>10</v>
      </c>
      <c r="D3" s="7" t="s">
        <v>11</v>
      </c>
      <c r="E3" s="5" t="s">
        <v>12</v>
      </c>
      <c r="F3" s="39" t="s">
        <v>13</v>
      </c>
      <c r="G3" s="39" t="s">
        <v>14</v>
      </c>
      <c r="H3" s="39" t="s">
        <v>15</v>
      </c>
      <c r="I3" s="39"/>
      <c r="J3" s="39"/>
      <c r="K3" s="6"/>
    </row>
    <row r="4" spans="2:11" x14ac:dyDescent="0.35">
      <c r="B4" s="4">
        <v>2</v>
      </c>
      <c r="C4" s="5" t="s">
        <v>16</v>
      </c>
      <c r="D4" s="46">
        <f>COMMERCIAL!F8</f>
        <v>200000</v>
      </c>
      <c r="E4" s="5" t="s">
        <v>17</v>
      </c>
      <c r="F4" s="39"/>
      <c r="G4" s="39"/>
      <c r="H4" s="39"/>
      <c r="I4" s="39"/>
      <c r="J4" s="39"/>
      <c r="K4" s="6" t="s">
        <v>18</v>
      </c>
    </row>
    <row r="5" spans="2:11" x14ac:dyDescent="0.35">
      <c r="B5" s="4">
        <v>3</v>
      </c>
      <c r="C5" s="5" t="s">
        <v>19</v>
      </c>
      <c r="D5" s="7" t="s">
        <v>20</v>
      </c>
      <c r="E5" s="5" t="s">
        <v>21</v>
      </c>
      <c r="F5" s="39"/>
      <c r="G5" s="39"/>
      <c r="H5" s="39"/>
      <c r="I5" s="39"/>
      <c r="J5" s="39"/>
      <c r="K5" s="6"/>
    </row>
    <row r="6" spans="2:11" x14ac:dyDescent="0.35">
      <c r="B6" s="4">
        <v>4</v>
      </c>
      <c r="C6" s="49" t="s">
        <v>22</v>
      </c>
      <c r="D6" s="8" t="s">
        <v>23</v>
      </c>
      <c r="E6" s="5" t="s">
        <v>12</v>
      </c>
      <c r="F6" s="40" t="s">
        <v>24</v>
      </c>
      <c r="G6" s="39" t="s">
        <v>14</v>
      </c>
      <c r="H6" s="39" t="s">
        <v>25</v>
      </c>
      <c r="I6" s="39">
        <v>22</v>
      </c>
      <c r="J6" s="39"/>
      <c r="K6" s="6" t="s">
        <v>26</v>
      </c>
    </row>
    <row r="7" spans="2:11" x14ac:dyDescent="0.35">
      <c r="B7" s="4">
        <v>5</v>
      </c>
      <c r="C7" s="49" t="s">
        <v>27</v>
      </c>
      <c r="D7" s="7" t="s">
        <v>28</v>
      </c>
      <c r="E7" s="5" t="s">
        <v>12</v>
      </c>
      <c r="F7" s="39" t="s">
        <v>29</v>
      </c>
      <c r="G7" s="39" t="s">
        <v>14</v>
      </c>
      <c r="H7" s="39" t="s">
        <v>15</v>
      </c>
      <c r="I7" s="39"/>
      <c r="J7" s="39"/>
      <c r="K7" s="6" t="s">
        <v>30</v>
      </c>
    </row>
    <row r="8" spans="2:11" x14ac:dyDescent="0.35">
      <c r="B8" s="4">
        <v>6</v>
      </c>
      <c r="C8" s="61" t="s">
        <v>31</v>
      </c>
      <c r="D8" t="s">
        <v>32</v>
      </c>
      <c r="E8" s="58" t="s">
        <v>12</v>
      </c>
      <c r="F8" s="48" t="s">
        <v>33</v>
      </c>
      <c r="G8" s="59" t="s">
        <v>14</v>
      </c>
      <c r="H8" s="59" t="s">
        <v>15</v>
      </c>
      <c r="I8" s="39">
        <v>22</v>
      </c>
      <c r="J8" s="39"/>
      <c r="K8" s="48" t="s">
        <v>34</v>
      </c>
    </row>
    <row r="9" spans="2:11" x14ac:dyDescent="0.35">
      <c r="B9" s="4">
        <v>7</v>
      </c>
      <c r="C9" s="61" t="s">
        <v>35</v>
      </c>
      <c r="D9" t="s">
        <v>28</v>
      </c>
      <c r="E9" s="58" t="s">
        <v>12</v>
      </c>
      <c r="F9" s="48" t="s">
        <v>33</v>
      </c>
      <c r="G9" s="59" t="s">
        <v>14</v>
      </c>
      <c r="H9" s="59" t="s">
        <v>15</v>
      </c>
      <c r="I9" s="39">
        <v>22</v>
      </c>
      <c r="J9" s="39"/>
      <c r="K9" s="48" t="s">
        <v>36</v>
      </c>
    </row>
    <row r="10" spans="2:11" x14ac:dyDescent="0.35">
      <c r="B10" s="4">
        <v>8</v>
      </c>
      <c r="C10" s="5" t="s">
        <v>37</v>
      </c>
      <c r="D10" s="46">
        <f>COMMERCIAL!F18</f>
        <v>3600000</v>
      </c>
      <c r="E10" s="5" t="s">
        <v>17</v>
      </c>
      <c r="F10" s="39"/>
      <c r="G10" s="39"/>
      <c r="H10" s="39"/>
      <c r="I10" s="39"/>
      <c r="J10" s="39"/>
      <c r="K10" s="6" t="s">
        <v>18</v>
      </c>
    </row>
    <row r="11" spans="2:11" x14ac:dyDescent="0.35">
      <c r="B11" s="4">
        <v>9</v>
      </c>
      <c r="C11" s="5" t="s">
        <v>38</v>
      </c>
      <c r="D11" s="51" t="s">
        <v>39</v>
      </c>
      <c r="E11" s="5" t="s">
        <v>21</v>
      </c>
      <c r="F11" s="39"/>
      <c r="G11" s="39" t="s">
        <v>40</v>
      </c>
      <c r="H11" s="39" t="s">
        <v>15</v>
      </c>
      <c r="I11" s="39"/>
      <c r="J11" s="39"/>
      <c r="K11" s="6"/>
    </row>
    <row r="12" spans="2:11" x14ac:dyDescent="0.35">
      <c r="B12" s="4">
        <v>10</v>
      </c>
      <c r="C12" s="52" t="s">
        <v>41</v>
      </c>
      <c r="D12" s="7" t="s">
        <v>28</v>
      </c>
      <c r="E12" s="5" t="s">
        <v>21</v>
      </c>
      <c r="F12" s="39" t="s">
        <v>13</v>
      </c>
      <c r="G12" s="39" t="s">
        <v>14</v>
      </c>
      <c r="H12" s="39" t="s">
        <v>15</v>
      </c>
      <c r="I12" s="39"/>
      <c r="J12" s="39"/>
      <c r="K12" s="6" t="s">
        <v>42</v>
      </c>
    </row>
    <row r="13" spans="2:11" x14ac:dyDescent="0.35">
      <c r="B13" s="4">
        <v>11</v>
      </c>
      <c r="C13" s="49" t="s">
        <v>238</v>
      </c>
      <c r="D13" s="7" t="s">
        <v>28</v>
      </c>
      <c r="E13" s="5" t="s">
        <v>12</v>
      </c>
      <c r="F13" s="39" t="s">
        <v>13</v>
      </c>
      <c r="G13" s="39" t="s">
        <v>14</v>
      </c>
      <c r="H13" s="39" t="s">
        <v>15</v>
      </c>
      <c r="I13" s="39"/>
      <c r="J13" s="39" t="s">
        <v>43</v>
      </c>
      <c r="K13" s="6" t="s">
        <v>42</v>
      </c>
    </row>
    <row r="14" spans="2:11" x14ac:dyDescent="0.35">
      <c r="B14" s="4">
        <v>12</v>
      </c>
      <c r="C14" s="49" t="s">
        <v>44</v>
      </c>
      <c r="D14" s="7" t="s">
        <v>28</v>
      </c>
      <c r="E14" s="49" t="s">
        <v>12</v>
      </c>
      <c r="F14" s="39" t="s">
        <v>13</v>
      </c>
      <c r="G14" s="39" t="s">
        <v>14</v>
      </c>
      <c r="H14" s="39" t="s">
        <v>15</v>
      </c>
      <c r="I14" s="39"/>
      <c r="J14" s="39" t="s">
        <v>45</v>
      </c>
      <c r="K14" s="6" t="s">
        <v>42</v>
      </c>
    </row>
    <row r="15" spans="2:11" x14ac:dyDescent="0.35">
      <c r="B15" s="4">
        <v>13</v>
      </c>
      <c r="C15" s="5" t="s">
        <v>46</v>
      </c>
      <c r="D15" s="46">
        <f>COMMERCIAL!F19</f>
        <v>3600000</v>
      </c>
      <c r="E15" s="5" t="s">
        <v>17</v>
      </c>
      <c r="F15" s="39"/>
      <c r="G15" s="39"/>
      <c r="H15" s="39"/>
      <c r="I15" s="39"/>
      <c r="J15" s="39"/>
      <c r="K15" s="6" t="s">
        <v>18</v>
      </c>
    </row>
    <row r="16" spans="2:11" x14ac:dyDescent="0.35">
      <c r="B16" s="4">
        <v>14</v>
      </c>
      <c r="C16" s="5" t="s">
        <v>47</v>
      </c>
      <c r="D16" s="51" t="s">
        <v>39</v>
      </c>
      <c r="E16" s="5" t="s">
        <v>21</v>
      </c>
      <c r="F16" s="39"/>
      <c r="G16" s="39" t="s">
        <v>40</v>
      </c>
      <c r="H16" s="39" t="s">
        <v>15</v>
      </c>
      <c r="I16" s="39"/>
      <c r="J16" s="39"/>
      <c r="K16" s="6"/>
    </row>
    <row r="17" spans="2:11" x14ac:dyDescent="0.35">
      <c r="B17" s="4">
        <v>15</v>
      </c>
      <c r="C17" s="49" t="s">
        <v>48</v>
      </c>
      <c r="D17" s="8" t="s">
        <v>49</v>
      </c>
      <c r="E17" s="5" t="s">
        <v>12</v>
      </c>
      <c r="F17" s="39" t="s">
        <v>50</v>
      </c>
      <c r="G17" s="39" t="s">
        <v>14</v>
      </c>
      <c r="H17" s="39" t="s">
        <v>25</v>
      </c>
      <c r="I17" s="39">
        <v>22</v>
      </c>
      <c r="J17" s="39"/>
      <c r="K17" s="6" t="s">
        <v>51</v>
      </c>
    </row>
    <row r="18" spans="2:11" x14ac:dyDescent="0.35">
      <c r="B18" s="4">
        <v>16</v>
      </c>
      <c r="C18" s="49" t="s">
        <v>52</v>
      </c>
      <c r="D18" s="7" t="s">
        <v>53</v>
      </c>
      <c r="E18" s="5" t="s">
        <v>12</v>
      </c>
      <c r="F18" s="39" t="s">
        <v>51</v>
      </c>
      <c r="G18" s="39" t="s">
        <v>14</v>
      </c>
      <c r="H18" s="39" t="s">
        <v>25</v>
      </c>
      <c r="I18" s="39">
        <v>22</v>
      </c>
      <c r="J18" s="39"/>
      <c r="K18" s="6" t="s">
        <v>51</v>
      </c>
    </row>
    <row r="19" spans="2:11" x14ac:dyDescent="0.35">
      <c r="B19" s="4">
        <v>17</v>
      </c>
      <c r="C19" s="49" t="s">
        <v>54</v>
      </c>
      <c r="D19" s="7" t="s">
        <v>55</v>
      </c>
      <c r="E19" s="5" t="s">
        <v>12</v>
      </c>
      <c r="F19" s="39" t="s">
        <v>56</v>
      </c>
      <c r="G19" s="39" t="s">
        <v>14</v>
      </c>
      <c r="H19" s="39" t="s">
        <v>25</v>
      </c>
      <c r="I19" s="39">
        <v>22</v>
      </c>
      <c r="J19" s="39"/>
      <c r="K19" s="6"/>
    </row>
    <row r="20" spans="2:11" x14ac:dyDescent="0.35">
      <c r="B20" s="4">
        <v>18</v>
      </c>
      <c r="C20" s="49" t="s">
        <v>57</v>
      </c>
      <c r="D20" s="7" t="s">
        <v>55</v>
      </c>
      <c r="E20" s="5" t="s">
        <v>12</v>
      </c>
      <c r="F20" s="39" t="s">
        <v>58</v>
      </c>
      <c r="G20" s="39" t="s">
        <v>14</v>
      </c>
      <c r="H20" s="39" t="s">
        <v>25</v>
      </c>
      <c r="I20" s="39">
        <v>22</v>
      </c>
      <c r="J20" s="39"/>
      <c r="K20" s="6" t="s">
        <v>59</v>
      </c>
    </row>
    <row r="21" spans="2:11" x14ac:dyDescent="0.35">
      <c r="B21" s="4">
        <v>19</v>
      </c>
      <c r="C21" s="5" t="s">
        <v>60</v>
      </c>
      <c r="D21" s="8" t="s">
        <v>61</v>
      </c>
      <c r="E21" s="5" t="s">
        <v>12</v>
      </c>
      <c r="F21" s="39" t="s">
        <v>56</v>
      </c>
      <c r="G21" s="39" t="s">
        <v>14</v>
      </c>
      <c r="H21" s="39" t="s">
        <v>25</v>
      </c>
      <c r="I21" s="39">
        <v>22</v>
      </c>
      <c r="J21" s="39"/>
      <c r="K21" s="6"/>
    </row>
    <row r="22" spans="2:11" x14ac:dyDescent="0.35">
      <c r="B22" s="4">
        <v>20</v>
      </c>
      <c r="C22" s="5" t="s">
        <v>62</v>
      </c>
      <c r="D22" s="7" t="s">
        <v>63</v>
      </c>
      <c r="E22" s="5" t="s">
        <v>12</v>
      </c>
      <c r="F22" s="39" t="s">
        <v>56</v>
      </c>
      <c r="G22" s="39" t="s">
        <v>14</v>
      </c>
      <c r="H22" s="39" t="s">
        <v>25</v>
      </c>
      <c r="I22" s="39">
        <v>22</v>
      </c>
      <c r="J22" s="39"/>
      <c r="K22" s="6"/>
    </row>
    <row r="23" spans="2:11" x14ac:dyDescent="0.35">
      <c r="B23" s="4">
        <v>21</v>
      </c>
      <c r="C23" s="5" t="s">
        <v>64</v>
      </c>
      <c r="D23" s="7" t="s">
        <v>65</v>
      </c>
      <c r="E23" s="5" t="s">
        <v>12</v>
      </c>
      <c r="F23" s="39" t="s">
        <v>56</v>
      </c>
      <c r="G23" s="39" t="s">
        <v>14</v>
      </c>
      <c r="H23" s="39" t="s">
        <v>25</v>
      </c>
      <c r="I23" s="39">
        <v>22</v>
      </c>
      <c r="J23" s="39"/>
      <c r="K23" s="6"/>
    </row>
    <row r="24" spans="2:11" x14ac:dyDescent="0.35">
      <c r="B24" s="4">
        <v>22</v>
      </c>
      <c r="C24" s="5" t="s">
        <v>66</v>
      </c>
      <c r="D24" s="7" t="s">
        <v>67</v>
      </c>
      <c r="E24" s="5" t="s">
        <v>21</v>
      </c>
      <c r="F24" s="39" t="s">
        <v>56</v>
      </c>
      <c r="G24" s="39" t="s">
        <v>14</v>
      </c>
      <c r="H24" s="39" t="s">
        <v>25</v>
      </c>
      <c r="I24" s="39">
        <v>22</v>
      </c>
      <c r="J24" s="39"/>
      <c r="K24" s="6" t="s">
        <v>68</v>
      </c>
    </row>
    <row r="25" spans="2:11" x14ac:dyDescent="0.35">
      <c r="B25" s="4">
        <v>23</v>
      </c>
      <c r="C25" s="5" t="s">
        <v>69</v>
      </c>
      <c r="D25" s="7" t="s">
        <v>67</v>
      </c>
      <c r="E25" s="5" t="s">
        <v>21</v>
      </c>
      <c r="F25" s="39" t="s">
        <v>56</v>
      </c>
      <c r="G25" s="39" t="s">
        <v>14</v>
      </c>
      <c r="H25" s="39" t="s">
        <v>25</v>
      </c>
      <c r="I25" s="39">
        <v>22</v>
      </c>
      <c r="J25" s="39"/>
      <c r="K25" s="6" t="s">
        <v>70</v>
      </c>
    </row>
    <row r="26" spans="2:11" x14ac:dyDescent="0.35">
      <c r="B26" s="4">
        <v>24</v>
      </c>
      <c r="C26" s="5" t="s">
        <v>71</v>
      </c>
      <c r="D26" s="8" t="s">
        <v>61</v>
      </c>
      <c r="E26" s="5" t="s">
        <v>21</v>
      </c>
      <c r="F26" s="39" t="s">
        <v>58</v>
      </c>
      <c r="G26" s="39" t="s">
        <v>14</v>
      </c>
      <c r="H26" s="39" t="s">
        <v>25</v>
      </c>
      <c r="I26" s="39">
        <v>22</v>
      </c>
      <c r="J26" s="39"/>
      <c r="K26" s="6" t="s">
        <v>72</v>
      </c>
    </row>
    <row r="27" spans="2:11" x14ac:dyDescent="0.35">
      <c r="B27" s="4">
        <v>25</v>
      </c>
      <c r="C27" s="5" t="s">
        <v>73</v>
      </c>
      <c r="D27" s="7" t="s">
        <v>63</v>
      </c>
      <c r="E27" s="5" t="s">
        <v>21</v>
      </c>
      <c r="F27" s="39" t="s">
        <v>58</v>
      </c>
      <c r="G27" s="39" t="s">
        <v>14</v>
      </c>
      <c r="H27" s="39" t="s">
        <v>25</v>
      </c>
      <c r="I27" s="39">
        <v>22</v>
      </c>
      <c r="J27" s="39"/>
      <c r="K27" s="6" t="s">
        <v>72</v>
      </c>
    </row>
    <row r="28" spans="2:11" x14ac:dyDescent="0.35">
      <c r="B28" s="4">
        <v>26</v>
      </c>
      <c r="C28" s="5" t="s">
        <v>74</v>
      </c>
      <c r="D28" s="7" t="s">
        <v>65</v>
      </c>
      <c r="E28" s="5" t="s">
        <v>21</v>
      </c>
      <c r="F28" s="39" t="s">
        <v>58</v>
      </c>
      <c r="G28" s="39" t="s">
        <v>14</v>
      </c>
      <c r="H28" s="39" t="s">
        <v>25</v>
      </c>
      <c r="I28" s="39">
        <v>22</v>
      </c>
      <c r="J28" s="39"/>
      <c r="K28" s="6" t="s">
        <v>72</v>
      </c>
    </row>
    <row r="29" spans="2:11" x14ac:dyDescent="0.35">
      <c r="B29" s="4">
        <v>27</v>
      </c>
      <c r="C29" s="5" t="s">
        <v>75</v>
      </c>
      <c r="D29" s="7" t="s">
        <v>76</v>
      </c>
      <c r="E29" s="5" t="s">
        <v>21</v>
      </c>
      <c r="F29" s="40" t="s">
        <v>77</v>
      </c>
      <c r="G29" s="39" t="s">
        <v>14</v>
      </c>
      <c r="H29" s="39" t="s">
        <v>25</v>
      </c>
      <c r="I29" s="39">
        <v>22</v>
      </c>
      <c r="J29" s="39"/>
      <c r="K29" s="6"/>
    </row>
    <row r="30" spans="2:11" x14ac:dyDescent="0.35">
      <c r="B30" s="4">
        <v>28</v>
      </c>
      <c r="C30" s="5" t="s">
        <v>78</v>
      </c>
      <c r="D30" s="7" t="s">
        <v>79</v>
      </c>
      <c r="E30" s="5" t="s">
        <v>21</v>
      </c>
      <c r="F30" s="40" t="s">
        <v>77</v>
      </c>
      <c r="G30" s="39" t="s">
        <v>14</v>
      </c>
      <c r="H30" s="39" t="s">
        <v>25</v>
      </c>
      <c r="I30" s="39">
        <v>22</v>
      </c>
      <c r="J30" s="39"/>
      <c r="K30" s="6" t="s">
        <v>80</v>
      </c>
    </row>
    <row r="31" spans="2:11" ht="38.5" x14ac:dyDescent="0.35">
      <c r="B31" s="4">
        <v>29</v>
      </c>
      <c r="C31" s="5" t="s">
        <v>81</v>
      </c>
      <c r="D31" s="8" t="s">
        <v>82</v>
      </c>
      <c r="E31" s="5" t="s">
        <v>21</v>
      </c>
      <c r="F31" s="39" t="s">
        <v>83</v>
      </c>
      <c r="G31" s="39" t="s">
        <v>14</v>
      </c>
      <c r="H31" s="39" t="s">
        <v>25</v>
      </c>
      <c r="I31" s="39">
        <v>22</v>
      </c>
      <c r="J31" s="39"/>
      <c r="K31" s="6" t="s">
        <v>84</v>
      </c>
    </row>
    <row r="32" spans="2:11" ht="38.5" x14ac:dyDescent="0.35">
      <c r="B32" s="4">
        <v>30</v>
      </c>
      <c r="C32" s="5" t="s">
        <v>85</v>
      </c>
      <c r="D32" s="8" t="s">
        <v>82</v>
      </c>
      <c r="E32" s="5" t="s">
        <v>21</v>
      </c>
      <c r="F32" s="39" t="s">
        <v>83</v>
      </c>
      <c r="G32" s="39" t="s">
        <v>14</v>
      </c>
      <c r="H32" s="39" t="s">
        <v>25</v>
      </c>
      <c r="I32" s="39">
        <v>22</v>
      </c>
      <c r="J32" s="39" t="s">
        <v>43</v>
      </c>
      <c r="K32" s="6" t="s">
        <v>86</v>
      </c>
    </row>
    <row r="33" spans="2:11" ht="38.5" x14ac:dyDescent="0.35">
      <c r="B33" s="4">
        <v>31</v>
      </c>
      <c r="C33" s="5" t="s">
        <v>87</v>
      </c>
      <c r="D33" s="8" t="s">
        <v>82</v>
      </c>
      <c r="E33" s="5" t="s">
        <v>21</v>
      </c>
      <c r="F33" s="39" t="s">
        <v>83</v>
      </c>
      <c r="G33" s="39" t="s">
        <v>14</v>
      </c>
      <c r="H33" s="39" t="s">
        <v>25</v>
      </c>
      <c r="I33" s="39">
        <v>22</v>
      </c>
      <c r="J33" s="39" t="s">
        <v>45</v>
      </c>
      <c r="K33" s="6" t="s">
        <v>88</v>
      </c>
    </row>
    <row r="34" spans="2:11" ht="26" x14ac:dyDescent="0.35">
      <c r="B34" s="4">
        <v>32</v>
      </c>
      <c r="C34" s="5" t="s">
        <v>89</v>
      </c>
      <c r="D34" s="8" t="s">
        <v>90</v>
      </c>
      <c r="E34" s="5" t="s">
        <v>21</v>
      </c>
      <c r="F34" s="39" t="s">
        <v>83</v>
      </c>
      <c r="G34" s="39" t="s">
        <v>14</v>
      </c>
      <c r="H34" s="39" t="s">
        <v>25</v>
      </c>
      <c r="I34" s="39">
        <v>22</v>
      </c>
      <c r="J34" s="39"/>
      <c r="K34" s="6" t="s">
        <v>91</v>
      </c>
    </row>
    <row r="35" spans="2:11" x14ac:dyDescent="0.35">
      <c r="B35" s="4">
        <v>33</v>
      </c>
      <c r="C35" s="5" t="s">
        <v>92</v>
      </c>
      <c r="D35" s="8" t="s">
        <v>93</v>
      </c>
      <c r="E35" s="5" t="s">
        <v>21</v>
      </c>
      <c r="F35" s="40" t="s">
        <v>94</v>
      </c>
      <c r="G35" s="39" t="s">
        <v>14</v>
      </c>
      <c r="H35" s="39" t="s">
        <v>25</v>
      </c>
      <c r="I35" s="39">
        <v>22</v>
      </c>
      <c r="J35" s="39"/>
      <c r="K35" s="6" t="s">
        <v>95</v>
      </c>
    </row>
    <row r="36" spans="2:11" x14ac:dyDescent="0.35">
      <c r="B36" s="4">
        <v>34</v>
      </c>
      <c r="C36" s="5" t="s">
        <v>96</v>
      </c>
      <c r="D36" s="8" t="s">
        <v>93</v>
      </c>
      <c r="E36" s="5" t="s">
        <v>21</v>
      </c>
      <c r="F36" s="39" t="s">
        <v>51</v>
      </c>
      <c r="G36" s="39" t="s">
        <v>14</v>
      </c>
      <c r="H36" s="39" t="s">
        <v>25</v>
      </c>
      <c r="I36" s="39">
        <v>22</v>
      </c>
      <c r="J36" s="39"/>
      <c r="K36" s="6" t="s">
        <v>51</v>
      </c>
    </row>
    <row r="37" spans="2:11" x14ac:dyDescent="0.35">
      <c r="B37" s="4">
        <v>35</v>
      </c>
      <c r="C37" s="5" t="s">
        <v>97</v>
      </c>
      <c r="D37" s="8" t="s">
        <v>93</v>
      </c>
      <c r="E37" s="5" t="s">
        <v>21</v>
      </c>
      <c r="F37" s="40" t="s">
        <v>98</v>
      </c>
      <c r="G37" s="39" t="s">
        <v>14</v>
      </c>
      <c r="H37" s="39" t="s">
        <v>25</v>
      </c>
      <c r="I37" s="39">
        <v>22</v>
      </c>
      <c r="J37" s="39"/>
      <c r="K37" s="6" t="s">
        <v>99</v>
      </c>
    </row>
    <row r="38" spans="2:11" ht="76" x14ac:dyDescent="0.35">
      <c r="B38" s="4">
        <v>36</v>
      </c>
      <c r="C38" s="5" t="s">
        <v>100</v>
      </c>
      <c r="D38" s="8" t="s">
        <v>101</v>
      </c>
      <c r="E38" s="5" t="s">
        <v>21</v>
      </c>
      <c r="F38" s="39" t="s">
        <v>83</v>
      </c>
      <c r="G38" s="39" t="s">
        <v>14</v>
      </c>
      <c r="H38" s="39" t="s">
        <v>25</v>
      </c>
      <c r="I38" s="39">
        <v>22</v>
      </c>
      <c r="J38" s="39"/>
      <c r="K38" s="6" t="s">
        <v>102</v>
      </c>
    </row>
    <row r="39" spans="2:11" x14ac:dyDescent="0.35">
      <c r="B39" s="4">
        <v>37</v>
      </c>
      <c r="C39" s="5" t="s">
        <v>103</v>
      </c>
      <c r="D39" s="7" t="s">
        <v>104</v>
      </c>
      <c r="E39" s="5" t="s">
        <v>21</v>
      </c>
      <c r="F39" s="40" t="s">
        <v>105</v>
      </c>
      <c r="G39" s="39" t="s">
        <v>14</v>
      </c>
      <c r="H39" s="39" t="s">
        <v>25</v>
      </c>
      <c r="I39" s="39">
        <v>22</v>
      </c>
      <c r="J39" s="39"/>
      <c r="K39" s="6"/>
    </row>
    <row r="40" spans="2:11" x14ac:dyDescent="0.35">
      <c r="B40" s="4">
        <v>38</v>
      </c>
      <c r="C40" s="5" t="s">
        <v>106</v>
      </c>
      <c r="D40" s="7" t="s">
        <v>107</v>
      </c>
      <c r="E40" s="5" t="s">
        <v>21</v>
      </c>
      <c r="F40" s="39" t="s">
        <v>13</v>
      </c>
      <c r="G40" s="39" t="s">
        <v>14</v>
      </c>
      <c r="H40" s="39" t="s">
        <v>15</v>
      </c>
      <c r="I40" s="39"/>
      <c r="J40" s="39" t="s">
        <v>43</v>
      </c>
      <c r="K40" s="6" t="s">
        <v>108</v>
      </c>
    </row>
    <row r="41" spans="2:11" x14ac:dyDescent="0.35">
      <c r="B41" s="4">
        <v>39</v>
      </c>
      <c r="C41" s="5" t="s">
        <v>109</v>
      </c>
      <c r="D41" s="7" t="s">
        <v>107</v>
      </c>
      <c r="E41" s="5" t="s">
        <v>21</v>
      </c>
      <c r="F41" s="39" t="s">
        <v>13</v>
      </c>
      <c r="G41" s="39" t="s">
        <v>14</v>
      </c>
      <c r="H41" s="39" t="s">
        <v>15</v>
      </c>
      <c r="I41" s="39"/>
      <c r="J41" s="39" t="s">
        <v>45</v>
      </c>
      <c r="K41" s="6" t="s">
        <v>110</v>
      </c>
    </row>
    <row r="42" spans="2:11" x14ac:dyDescent="0.35">
      <c r="B42" s="4">
        <v>40</v>
      </c>
      <c r="C42" s="5" t="s">
        <v>239</v>
      </c>
      <c r="D42" s="7" t="s">
        <v>111</v>
      </c>
      <c r="E42" s="5" t="s">
        <v>21</v>
      </c>
      <c r="F42" s="40" t="s">
        <v>112</v>
      </c>
      <c r="G42" s="39" t="s">
        <v>14</v>
      </c>
      <c r="H42" s="40" t="s">
        <v>15</v>
      </c>
      <c r="I42" s="40"/>
      <c r="J42" s="39" t="s">
        <v>43</v>
      </c>
      <c r="K42" s="41" t="s">
        <v>113</v>
      </c>
    </row>
    <row r="43" spans="2:11" x14ac:dyDescent="0.35">
      <c r="B43" s="4">
        <v>41</v>
      </c>
      <c r="C43" s="5" t="s">
        <v>114</v>
      </c>
      <c r="D43" s="7" t="s">
        <v>115</v>
      </c>
      <c r="E43" s="5" t="s">
        <v>21</v>
      </c>
      <c r="F43" s="39" t="s">
        <v>13</v>
      </c>
      <c r="G43" s="39" t="s">
        <v>14</v>
      </c>
      <c r="H43" s="39" t="s">
        <v>15</v>
      </c>
      <c r="I43" s="39"/>
      <c r="J43" s="39"/>
      <c r="K43" s="6" t="s">
        <v>116</v>
      </c>
    </row>
    <row r="44" spans="2:11" x14ac:dyDescent="0.35">
      <c r="B44" s="4">
        <v>42</v>
      </c>
      <c r="C44" s="5" t="s">
        <v>117</v>
      </c>
      <c r="D44" s="7" t="s">
        <v>111</v>
      </c>
      <c r="E44" s="5" t="s">
        <v>21</v>
      </c>
      <c r="F44" s="40" t="s">
        <v>112</v>
      </c>
      <c r="G44" s="39" t="s">
        <v>14</v>
      </c>
      <c r="H44" s="40" t="s">
        <v>15</v>
      </c>
      <c r="I44" s="40"/>
      <c r="J44" s="39" t="s">
        <v>45</v>
      </c>
      <c r="K44" s="41" t="s">
        <v>118</v>
      </c>
    </row>
    <row r="45" spans="2:11" x14ac:dyDescent="0.35">
      <c r="B45" s="4">
        <v>43</v>
      </c>
      <c r="C45" s="5" t="s">
        <v>240</v>
      </c>
      <c r="D45" s="7" t="s">
        <v>119</v>
      </c>
      <c r="E45" s="5" t="s">
        <v>21</v>
      </c>
      <c r="F45" s="39" t="s">
        <v>120</v>
      </c>
      <c r="G45" s="39" t="s">
        <v>14</v>
      </c>
      <c r="H45" s="39" t="s">
        <v>25</v>
      </c>
      <c r="I45" s="39">
        <v>22</v>
      </c>
      <c r="J45" s="39"/>
      <c r="K45" s="6" t="s">
        <v>121</v>
      </c>
    </row>
    <row r="46" spans="2:11" ht="26" x14ac:dyDescent="0.35">
      <c r="B46" s="4">
        <v>44</v>
      </c>
      <c r="C46" s="5" t="s">
        <v>122</v>
      </c>
      <c r="D46" s="8" t="s">
        <v>123</v>
      </c>
      <c r="E46" s="5" t="s">
        <v>21</v>
      </c>
      <c r="F46" s="39" t="s">
        <v>124</v>
      </c>
      <c r="G46" s="39" t="s">
        <v>14</v>
      </c>
      <c r="H46" s="39" t="s">
        <v>15</v>
      </c>
      <c r="I46" s="39"/>
      <c r="J46" s="39" t="s">
        <v>43</v>
      </c>
      <c r="K46" s="6" t="s">
        <v>125</v>
      </c>
    </row>
    <row r="47" spans="2:11" x14ac:dyDescent="0.35">
      <c r="B47" s="4">
        <v>45</v>
      </c>
      <c r="C47" s="5" t="s">
        <v>126</v>
      </c>
      <c r="D47" s="7" t="s">
        <v>127</v>
      </c>
      <c r="E47" s="5" t="s">
        <v>21</v>
      </c>
      <c r="F47" s="39" t="s">
        <v>124</v>
      </c>
      <c r="G47" s="39" t="s">
        <v>14</v>
      </c>
      <c r="H47" s="39" t="s">
        <v>25</v>
      </c>
      <c r="I47" s="39">
        <v>22</v>
      </c>
      <c r="J47" s="39" t="s">
        <v>43</v>
      </c>
      <c r="K47" s="6" t="s">
        <v>125</v>
      </c>
    </row>
    <row r="48" spans="2:11" ht="26" x14ac:dyDescent="0.35">
      <c r="B48" s="4">
        <v>46</v>
      </c>
      <c r="C48" s="5" t="s">
        <v>128</v>
      </c>
      <c r="D48" s="8" t="s">
        <v>129</v>
      </c>
      <c r="E48" s="5" t="s">
        <v>21</v>
      </c>
      <c r="F48" s="39" t="s">
        <v>124</v>
      </c>
      <c r="G48" s="39" t="s">
        <v>14</v>
      </c>
      <c r="H48" s="39" t="s">
        <v>15</v>
      </c>
      <c r="I48" s="39"/>
      <c r="J48" s="39" t="s">
        <v>43</v>
      </c>
      <c r="K48" s="6" t="s">
        <v>125</v>
      </c>
    </row>
    <row r="49" spans="2:11" x14ac:dyDescent="0.35">
      <c r="B49" s="4">
        <v>47</v>
      </c>
      <c r="C49" s="5" t="s">
        <v>130</v>
      </c>
      <c r="D49" s="7" t="s">
        <v>131</v>
      </c>
      <c r="E49" s="5" t="s">
        <v>21</v>
      </c>
      <c r="F49" s="39" t="s">
        <v>124</v>
      </c>
      <c r="G49" s="39" t="s">
        <v>14</v>
      </c>
      <c r="H49" s="39" t="s">
        <v>25</v>
      </c>
      <c r="I49" s="39">
        <v>22</v>
      </c>
      <c r="J49" s="39" t="s">
        <v>43</v>
      </c>
      <c r="K49" s="6" t="s">
        <v>125</v>
      </c>
    </row>
    <row r="50" spans="2:11" ht="26" x14ac:dyDescent="0.35">
      <c r="B50" s="4">
        <v>48</v>
      </c>
      <c r="C50" s="5" t="s">
        <v>132</v>
      </c>
      <c r="D50" s="8" t="s">
        <v>123</v>
      </c>
      <c r="E50" s="5" t="s">
        <v>21</v>
      </c>
      <c r="F50" s="39" t="s">
        <v>124</v>
      </c>
      <c r="G50" s="39" t="s">
        <v>14</v>
      </c>
      <c r="H50" s="39" t="s">
        <v>15</v>
      </c>
      <c r="I50" s="39"/>
      <c r="J50" s="39" t="s">
        <v>45</v>
      </c>
      <c r="K50" s="6" t="s">
        <v>125</v>
      </c>
    </row>
    <row r="51" spans="2:11" x14ac:dyDescent="0.35">
      <c r="B51" s="4">
        <v>49</v>
      </c>
      <c r="C51" s="5" t="s">
        <v>133</v>
      </c>
      <c r="D51" s="7" t="s">
        <v>134</v>
      </c>
      <c r="E51" s="5" t="s">
        <v>21</v>
      </c>
      <c r="F51" s="39" t="s">
        <v>124</v>
      </c>
      <c r="G51" s="39" t="s">
        <v>14</v>
      </c>
      <c r="H51" s="39" t="s">
        <v>25</v>
      </c>
      <c r="I51" s="39">
        <v>22</v>
      </c>
      <c r="J51" s="39" t="s">
        <v>45</v>
      </c>
      <c r="K51" s="6" t="s">
        <v>125</v>
      </c>
    </row>
    <row r="52" spans="2:11" ht="26" x14ac:dyDescent="0.35">
      <c r="B52" s="4">
        <v>50</v>
      </c>
      <c r="C52" s="5" t="s">
        <v>135</v>
      </c>
      <c r="D52" s="8" t="s">
        <v>129</v>
      </c>
      <c r="E52" s="5" t="s">
        <v>21</v>
      </c>
      <c r="F52" s="39" t="s">
        <v>124</v>
      </c>
      <c r="G52" s="39" t="s">
        <v>14</v>
      </c>
      <c r="H52" s="39" t="s">
        <v>15</v>
      </c>
      <c r="I52" s="39"/>
      <c r="J52" s="39" t="s">
        <v>45</v>
      </c>
      <c r="K52" s="6" t="s">
        <v>125</v>
      </c>
    </row>
    <row r="53" spans="2:11" x14ac:dyDescent="0.35">
      <c r="B53" s="4">
        <v>51</v>
      </c>
      <c r="C53" s="5" t="s">
        <v>136</v>
      </c>
      <c r="D53" s="7" t="s">
        <v>131</v>
      </c>
      <c r="E53" s="5" t="s">
        <v>21</v>
      </c>
      <c r="F53" s="39" t="s">
        <v>124</v>
      </c>
      <c r="G53" s="39" t="s">
        <v>14</v>
      </c>
      <c r="H53" s="39" t="s">
        <v>25</v>
      </c>
      <c r="I53" s="39">
        <v>22</v>
      </c>
      <c r="J53" s="39" t="s">
        <v>45</v>
      </c>
      <c r="K53" s="6" t="s">
        <v>125</v>
      </c>
    </row>
    <row r="54" spans="2:11" x14ac:dyDescent="0.35">
      <c r="B54" s="4">
        <v>52</v>
      </c>
      <c r="C54" s="5" t="s">
        <v>137</v>
      </c>
      <c r="D54" s="7" t="s">
        <v>138</v>
      </c>
      <c r="E54" s="5" t="s">
        <v>21</v>
      </c>
      <c r="F54" s="39" t="s">
        <v>139</v>
      </c>
      <c r="G54" s="39" t="s">
        <v>40</v>
      </c>
      <c r="H54" s="39" t="s">
        <v>15</v>
      </c>
      <c r="I54" s="39"/>
      <c r="J54" s="39"/>
      <c r="K54" s="6"/>
    </row>
    <row r="55" spans="2:11" x14ac:dyDescent="0.35">
      <c r="B55" s="4">
        <v>53</v>
      </c>
      <c r="C55" s="49" t="s">
        <v>140</v>
      </c>
      <c r="D55" s="7" t="s">
        <v>141</v>
      </c>
      <c r="E55" s="5" t="s">
        <v>12</v>
      </c>
      <c r="F55" s="39" t="s">
        <v>139</v>
      </c>
      <c r="G55" s="39" t="s">
        <v>40</v>
      </c>
      <c r="H55" s="39" t="s">
        <v>15</v>
      </c>
      <c r="I55" s="39"/>
      <c r="J55" s="39"/>
      <c r="K55" s="6"/>
    </row>
    <row r="56" spans="2:11" x14ac:dyDescent="0.35">
      <c r="B56" s="4">
        <v>54</v>
      </c>
      <c r="C56" s="5" t="s">
        <v>142</v>
      </c>
      <c r="D56" s="7" t="s">
        <v>119</v>
      </c>
      <c r="E56" s="5" t="s">
        <v>21</v>
      </c>
      <c r="F56" s="39" t="s">
        <v>120</v>
      </c>
      <c r="G56" s="39" t="s">
        <v>14</v>
      </c>
      <c r="H56" s="39" t="s">
        <v>25</v>
      </c>
      <c r="I56" s="39">
        <v>22</v>
      </c>
      <c r="J56" s="39"/>
      <c r="K56" s="6" t="s">
        <v>143</v>
      </c>
    </row>
    <row r="57" spans="2:11" x14ac:dyDescent="0.35">
      <c r="B57" s="4">
        <v>55</v>
      </c>
      <c r="C57" s="5" t="s">
        <v>144</v>
      </c>
      <c r="D57" s="7" t="s">
        <v>145</v>
      </c>
      <c r="E57" s="5" t="s">
        <v>21</v>
      </c>
      <c r="F57" s="39" t="s">
        <v>13</v>
      </c>
      <c r="G57" s="39" t="s">
        <v>14</v>
      </c>
      <c r="H57" s="39" t="s">
        <v>15</v>
      </c>
      <c r="I57" s="39"/>
      <c r="J57" s="39"/>
      <c r="K57" s="6"/>
    </row>
    <row r="58" spans="2:11" x14ac:dyDescent="0.35">
      <c r="B58" s="4">
        <v>56</v>
      </c>
      <c r="C58" s="49" t="s">
        <v>146</v>
      </c>
      <c r="D58" s="7" t="s">
        <v>147</v>
      </c>
      <c r="E58" s="5" t="s">
        <v>12</v>
      </c>
      <c r="F58" s="39" t="s">
        <v>148</v>
      </c>
      <c r="G58" s="39" t="s">
        <v>14</v>
      </c>
      <c r="H58" s="39" t="s">
        <v>25</v>
      </c>
      <c r="I58" s="39">
        <v>22</v>
      </c>
      <c r="J58" s="39"/>
      <c r="K58" s="6"/>
    </row>
    <row r="59" spans="2:11" x14ac:dyDescent="0.35">
      <c r="B59" s="4">
        <v>57</v>
      </c>
      <c r="C59" s="5" t="s">
        <v>149</v>
      </c>
      <c r="D59" s="7" t="s">
        <v>150</v>
      </c>
      <c r="E59" s="5" t="s">
        <v>21</v>
      </c>
      <c r="F59" s="39" t="s">
        <v>148</v>
      </c>
      <c r="G59" s="39" t="s">
        <v>14</v>
      </c>
      <c r="H59" s="39" t="s">
        <v>25</v>
      </c>
      <c r="I59" s="39">
        <v>22</v>
      </c>
      <c r="J59" s="39"/>
      <c r="K59" s="6"/>
    </row>
    <row r="60" spans="2:11" x14ac:dyDescent="0.35">
      <c r="B60" s="4">
        <v>58</v>
      </c>
      <c r="C60" s="5" t="s">
        <v>151</v>
      </c>
      <c r="D60" s="7" t="s">
        <v>152</v>
      </c>
      <c r="E60" s="5" t="s">
        <v>21</v>
      </c>
      <c r="F60" s="39" t="s">
        <v>148</v>
      </c>
      <c r="G60" s="39" t="s">
        <v>14</v>
      </c>
      <c r="H60" s="39" t="s">
        <v>25</v>
      </c>
      <c r="I60" s="39">
        <v>22</v>
      </c>
      <c r="J60" s="39"/>
      <c r="K60" s="6"/>
    </row>
    <row r="61" spans="2:11" x14ac:dyDescent="0.35">
      <c r="B61" s="53">
        <v>59</v>
      </c>
      <c r="C61" s="5" t="s">
        <v>153</v>
      </c>
      <c r="D61" s="7" t="s">
        <v>154</v>
      </c>
      <c r="E61" s="5" t="s">
        <v>21</v>
      </c>
      <c r="F61" s="39" t="s">
        <v>155</v>
      </c>
      <c r="G61" s="39" t="s">
        <v>40</v>
      </c>
      <c r="H61" s="39" t="s">
        <v>15</v>
      </c>
      <c r="I61" s="39"/>
      <c r="J61" s="39"/>
      <c r="K61" s="6"/>
    </row>
    <row r="62" spans="2:11" x14ac:dyDescent="0.35">
      <c r="B62" s="58">
        <v>60</v>
      </c>
      <c r="C62" s="5" t="s">
        <v>156</v>
      </c>
      <c r="D62" s="7" t="s">
        <v>157</v>
      </c>
      <c r="E62" s="5" t="s">
        <v>21</v>
      </c>
      <c r="F62" s="39" t="s">
        <v>155</v>
      </c>
      <c r="G62" s="39" t="s">
        <v>40</v>
      </c>
      <c r="H62" s="39" t="s">
        <v>15</v>
      </c>
      <c r="I62" s="39"/>
      <c r="J62" s="39"/>
      <c r="K62" s="6"/>
    </row>
    <row r="63" spans="2:11" x14ac:dyDescent="0.35">
      <c r="B63" s="58">
        <v>61</v>
      </c>
      <c r="C63" s="54" t="s">
        <v>158</v>
      </c>
      <c r="D63" s="55" t="s">
        <v>159</v>
      </c>
      <c r="E63" s="54" t="s">
        <v>12</v>
      </c>
      <c r="F63" s="56" t="s">
        <v>160</v>
      </c>
      <c r="G63" s="56" t="s">
        <v>14</v>
      </c>
      <c r="H63" s="56" t="s">
        <v>15</v>
      </c>
      <c r="I63" s="56"/>
      <c r="J63" s="56"/>
      <c r="K63" s="57" t="s">
        <v>161</v>
      </c>
    </row>
    <row r="64" spans="2:11" s="48" customFormat="1" x14ac:dyDescent="0.35">
      <c r="B64" s="58">
        <v>62</v>
      </c>
      <c r="C64" s="58" t="s">
        <v>162</v>
      </c>
      <c r="D64" s="48" t="s">
        <v>163</v>
      </c>
      <c r="E64" s="58" t="s">
        <v>21</v>
      </c>
      <c r="F64" s="48" t="s">
        <v>164</v>
      </c>
      <c r="G64" s="59" t="s">
        <v>14</v>
      </c>
      <c r="H64" s="59" t="s">
        <v>15</v>
      </c>
      <c r="J64" s="59" t="s">
        <v>165</v>
      </c>
      <c r="K64" s="48" t="s">
        <v>166</v>
      </c>
    </row>
    <row r="65" spans="2:11" s="48" customFormat="1" x14ac:dyDescent="0.35">
      <c r="B65" s="48">
        <v>63</v>
      </c>
      <c r="C65" s="58" t="s">
        <v>167</v>
      </c>
      <c r="D65" s="60" t="s">
        <v>111</v>
      </c>
      <c r="E65" s="58" t="s">
        <v>21</v>
      </c>
      <c r="F65" s="48" t="s">
        <v>112</v>
      </c>
      <c r="G65" s="59" t="s">
        <v>14</v>
      </c>
      <c r="H65" s="59" t="s">
        <v>15</v>
      </c>
      <c r="J65" s="59" t="s">
        <v>43</v>
      </c>
    </row>
    <row r="66" spans="2:11" s="48" customFormat="1" x14ac:dyDescent="0.35">
      <c r="B66" s="48">
        <v>64</v>
      </c>
      <c r="C66" s="58" t="s">
        <v>168</v>
      </c>
      <c r="D66" s="60" t="s">
        <v>111</v>
      </c>
      <c r="E66" s="58" t="s">
        <v>21</v>
      </c>
      <c r="F66" s="48" t="s">
        <v>112</v>
      </c>
      <c r="G66" s="59" t="s">
        <v>14</v>
      </c>
      <c r="H66" s="59" t="s">
        <v>15</v>
      </c>
      <c r="J66" s="59" t="s">
        <v>45</v>
      </c>
    </row>
    <row r="67" spans="2:11" s="48" customFormat="1" x14ac:dyDescent="0.35">
      <c r="B67" s="48">
        <v>65</v>
      </c>
      <c r="C67" s="61" t="s">
        <v>236</v>
      </c>
      <c r="D67" s="48" t="s">
        <v>237</v>
      </c>
      <c r="E67" s="5" t="s">
        <v>12</v>
      </c>
      <c r="F67" s="39" t="s">
        <v>50</v>
      </c>
      <c r="G67" s="39" t="s">
        <v>14</v>
      </c>
      <c r="H67" s="39" t="s">
        <v>25</v>
      </c>
      <c r="I67" s="39">
        <v>22</v>
      </c>
      <c r="J67" s="39"/>
      <c r="K67" s="6" t="s">
        <v>51</v>
      </c>
    </row>
    <row r="68" spans="2:11" s="48" customFormat="1" x14ac:dyDescent="0.35"/>
    <row r="69" spans="2:11" s="48" customFormat="1" x14ac:dyDescent="0.35"/>
  </sheetData>
  <autoFilter ref="B2:K66" xr:uid="{F34389A4-7219-4647-A47E-14777D8834F3}">
    <filterColumn colId="1">
      <colorFilter dxfId="1"/>
    </filterColumn>
    <filterColumn colId="3">
      <filters>
        <filter val="KPI_BASED"/>
      </filters>
    </filterColumn>
  </autoFilter>
  <dataValidations count="3">
    <dataValidation type="list" allowBlank="1" showInputMessage="1" showErrorMessage="1" sqref="H3:H1048576" xr:uid="{5CF7D89E-E438-47F6-BAFC-8275AE2FF729}">
      <formula1>"year,mon,day,hour,min,sec"</formula1>
    </dataValidation>
    <dataValidation type="list" allowBlank="1" showInputMessage="1" showErrorMessage="1" sqref="G3:G1048576" xr:uid="{485C4E2A-F72D-4FFF-8AC1-114ECEC689D3}">
      <formula1>"sum,max,min,avg,count"</formula1>
    </dataValidation>
    <dataValidation type="list" allowBlank="1" showInputMessage="1" showErrorMessage="1" sqref="E3:E1048576" xr:uid="{DC30A8EA-C8CE-4935-A9D9-C5B83411ED84}">
      <formula1>"CALCULATED,COMMERCIAL,KPI_BASED,IGNORE"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D5BE-34D1-46BA-BE22-0C4998760259}">
  <sheetPr filterMode="1"/>
  <dimension ref="B1:K22"/>
  <sheetViews>
    <sheetView topLeftCell="D12" workbookViewId="0">
      <selection activeCell="D27" sqref="D27"/>
    </sheetView>
  </sheetViews>
  <sheetFormatPr defaultRowHeight="14.5" x14ac:dyDescent="0.35"/>
  <cols>
    <col min="2" max="2" width="8.453125" bestFit="1" customWidth="1"/>
    <col min="3" max="3" width="48.81640625" bestFit="1" customWidth="1"/>
    <col min="4" max="4" width="96" style="44" customWidth="1"/>
    <col min="5" max="5" width="17.7265625" bestFit="1" customWidth="1"/>
    <col min="6" max="6" width="29.26953125" bestFit="1" customWidth="1"/>
    <col min="7" max="7" width="22.453125" bestFit="1" customWidth="1"/>
    <col min="8" max="8" width="18.81640625" bestFit="1" customWidth="1"/>
    <col min="9" max="9" width="16.453125" bestFit="1" customWidth="1"/>
    <col min="10" max="10" width="28" bestFit="1" customWidth="1"/>
    <col min="11" max="11" width="76" bestFit="1" customWidth="1"/>
  </cols>
  <sheetData>
    <row r="1" spans="2:11" ht="15" thickBot="1" x14ac:dyDescent="0.4"/>
    <row r="2" spans="2:11" x14ac:dyDescent="0.35">
      <c r="B2" s="1" t="s">
        <v>0</v>
      </c>
      <c r="C2" s="2" t="s">
        <v>1</v>
      </c>
      <c r="D2" s="45" t="s">
        <v>2</v>
      </c>
      <c r="E2" s="2" t="s">
        <v>3</v>
      </c>
      <c r="F2" s="38" t="s">
        <v>4</v>
      </c>
      <c r="G2" s="38" t="s">
        <v>5</v>
      </c>
      <c r="H2" s="38" t="s">
        <v>6</v>
      </c>
      <c r="I2" s="38" t="s">
        <v>7</v>
      </c>
      <c r="J2" s="38" t="s">
        <v>8</v>
      </c>
      <c r="K2" s="3" t="s">
        <v>9</v>
      </c>
    </row>
    <row r="3" spans="2:11" x14ac:dyDescent="0.35">
      <c r="B3" s="4">
        <v>1</v>
      </c>
      <c r="C3" s="50" t="s">
        <v>169</v>
      </c>
      <c r="D3" s="46" t="s">
        <v>170</v>
      </c>
      <c r="E3" s="5" t="s">
        <v>12</v>
      </c>
      <c r="F3" s="39" t="s">
        <v>171</v>
      </c>
      <c r="G3" s="39" t="s">
        <v>14</v>
      </c>
      <c r="H3" s="39" t="s">
        <v>172</v>
      </c>
      <c r="I3" s="39"/>
      <c r="J3" s="39"/>
      <c r="K3" s="6"/>
    </row>
    <row r="4" spans="2:11" x14ac:dyDescent="0.35">
      <c r="B4" s="4">
        <v>2</v>
      </c>
      <c r="C4" s="42" t="s">
        <v>173</v>
      </c>
      <c r="D4" s="46"/>
      <c r="E4" s="5" t="s">
        <v>17</v>
      </c>
      <c r="F4" s="39"/>
      <c r="G4" s="39"/>
      <c r="H4" s="39"/>
      <c r="I4" s="39"/>
      <c r="J4" s="39"/>
      <c r="K4" s="6" t="s">
        <v>18</v>
      </c>
    </row>
    <row r="5" spans="2:11" x14ac:dyDescent="0.35">
      <c r="B5" s="4">
        <v>3</v>
      </c>
      <c r="C5" s="42" t="s">
        <v>174</v>
      </c>
      <c r="D5" s="43" t="s">
        <v>175</v>
      </c>
      <c r="E5" s="5" t="s">
        <v>21</v>
      </c>
      <c r="F5" s="39"/>
      <c r="G5" s="39"/>
      <c r="H5" s="39"/>
      <c r="I5" s="39"/>
      <c r="J5" s="39"/>
      <c r="K5" s="6"/>
    </row>
    <row r="6" spans="2:11" x14ac:dyDescent="0.35">
      <c r="B6" s="4">
        <v>4</v>
      </c>
      <c r="C6" s="42" t="s">
        <v>27</v>
      </c>
      <c r="D6" s="43" t="s">
        <v>28</v>
      </c>
      <c r="E6" s="5" t="s">
        <v>21</v>
      </c>
      <c r="F6" s="39" t="s">
        <v>29</v>
      </c>
      <c r="G6" s="39" t="s">
        <v>40</v>
      </c>
      <c r="H6" s="39" t="s">
        <v>15</v>
      </c>
      <c r="I6" s="39"/>
      <c r="J6" s="39"/>
      <c r="K6" s="6" t="s">
        <v>30</v>
      </c>
    </row>
    <row r="7" spans="2:11" x14ac:dyDescent="0.35">
      <c r="B7" s="4">
        <v>5</v>
      </c>
      <c r="C7" s="42" t="s">
        <v>37</v>
      </c>
      <c r="D7" s="47"/>
      <c r="E7" s="5" t="s">
        <v>17</v>
      </c>
      <c r="F7" s="39"/>
      <c r="G7" s="39"/>
      <c r="H7" s="39"/>
      <c r="I7" s="39"/>
      <c r="J7" s="39"/>
      <c r="K7" s="6" t="s">
        <v>18</v>
      </c>
    </row>
    <row r="8" spans="2:11" x14ac:dyDescent="0.35">
      <c r="B8" s="4">
        <v>6</v>
      </c>
      <c r="C8" s="42" t="s">
        <v>38</v>
      </c>
      <c r="D8" s="43" t="s">
        <v>176</v>
      </c>
      <c r="E8" s="5" t="s">
        <v>21</v>
      </c>
      <c r="F8" s="39"/>
      <c r="G8" s="39" t="s">
        <v>40</v>
      </c>
      <c r="H8" s="39" t="s">
        <v>15</v>
      </c>
      <c r="I8" s="39"/>
      <c r="J8" s="39"/>
      <c r="K8" s="6"/>
    </row>
    <row r="9" spans="2:11" x14ac:dyDescent="0.35">
      <c r="B9" s="4">
        <v>7</v>
      </c>
      <c r="C9" s="42" t="s">
        <v>46</v>
      </c>
      <c r="D9" s="47"/>
      <c r="E9" s="5" t="s">
        <v>17</v>
      </c>
      <c r="F9" s="39"/>
      <c r="G9" s="39"/>
      <c r="H9" s="39"/>
      <c r="I9" s="39"/>
      <c r="J9" s="39"/>
      <c r="K9" s="6" t="s">
        <v>18</v>
      </c>
    </row>
    <row r="10" spans="2:11" x14ac:dyDescent="0.35">
      <c r="B10" s="4">
        <v>8</v>
      </c>
      <c r="C10" s="42" t="s">
        <v>47</v>
      </c>
      <c r="D10" s="43" t="s">
        <v>176</v>
      </c>
      <c r="E10" s="5" t="s">
        <v>21</v>
      </c>
      <c r="F10" s="39"/>
      <c r="G10" s="39" t="s">
        <v>14</v>
      </c>
      <c r="H10" s="39" t="s">
        <v>172</v>
      </c>
      <c r="I10" s="39"/>
      <c r="J10" s="39"/>
      <c r="K10" s="6"/>
    </row>
    <row r="11" spans="2:11" ht="29" x14ac:dyDescent="0.35">
      <c r="B11" s="4">
        <v>9</v>
      </c>
      <c r="C11" s="50" t="s">
        <v>177</v>
      </c>
      <c r="D11" s="43" t="s">
        <v>178</v>
      </c>
      <c r="E11" s="5" t="s">
        <v>12</v>
      </c>
      <c r="F11" s="40" t="s">
        <v>120</v>
      </c>
      <c r="G11" s="39" t="s">
        <v>14</v>
      </c>
      <c r="H11" s="39" t="s">
        <v>172</v>
      </c>
      <c r="I11" s="39"/>
      <c r="J11" s="39"/>
      <c r="K11" s="48" t="s">
        <v>179</v>
      </c>
    </row>
    <row r="12" spans="2:11" x14ac:dyDescent="0.35">
      <c r="B12" s="4">
        <v>10</v>
      </c>
      <c r="C12" s="50" t="s">
        <v>180</v>
      </c>
      <c r="D12" s="43" t="s">
        <v>181</v>
      </c>
      <c r="E12" s="63" t="s">
        <v>12</v>
      </c>
      <c r="F12" s="39" t="s">
        <v>182</v>
      </c>
      <c r="G12" s="39" t="s">
        <v>14</v>
      </c>
      <c r="H12" s="39" t="s">
        <v>172</v>
      </c>
      <c r="I12" s="39"/>
      <c r="J12" s="39"/>
      <c r="K12" s="48" t="s">
        <v>183</v>
      </c>
    </row>
    <row r="13" spans="2:11" x14ac:dyDescent="0.35">
      <c r="B13" s="4">
        <v>11</v>
      </c>
      <c r="C13" s="42" t="s">
        <v>184</v>
      </c>
      <c r="D13" s="43" t="s">
        <v>138</v>
      </c>
      <c r="E13" s="5" t="s">
        <v>21</v>
      </c>
      <c r="F13" s="39" t="s">
        <v>139</v>
      </c>
      <c r="G13" s="39" t="s">
        <v>40</v>
      </c>
      <c r="H13" s="39" t="s">
        <v>15</v>
      </c>
      <c r="I13" s="39"/>
      <c r="J13" s="39"/>
      <c r="K13" s="6"/>
    </row>
    <row r="14" spans="2:11" x14ac:dyDescent="0.35">
      <c r="B14" s="4">
        <v>12</v>
      </c>
      <c r="C14" s="42" t="s">
        <v>153</v>
      </c>
      <c r="D14" s="43" t="s">
        <v>154</v>
      </c>
      <c r="E14" s="5" t="s">
        <v>21</v>
      </c>
      <c r="F14" s="39" t="s">
        <v>139</v>
      </c>
      <c r="G14" s="39" t="s">
        <v>40</v>
      </c>
      <c r="H14" s="39" t="s">
        <v>15</v>
      </c>
      <c r="I14" s="39"/>
      <c r="J14" s="39"/>
      <c r="K14" s="6"/>
    </row>
    <row r="15" spans="2:11" x14ac:dyDescent="0.35">
      <c r="B15" s="4">
        <v>13</v>
      </c>
      <c r="C15" s="42" t="s">
        <v>156</v>
      </c>
      <c r="D15" s="43" t="s">
        <v>157</v>
      </c>
      <c r="E15" s="5" t="s">
        <v>21</v>
      </c>
      <c r="F15" s="39" t="s">
        <v>139</v>
      </c>
      <c r="G15" s="39" t="s">
        <v>40</v>
      </c>
      <c r="H15" s="39" t="s">
        <v>15</v>
      </c>
      <c r="I15" s="39"/>
      <c r="J15" s="39"/>
      <c r="K15" s="6"/>
    </row>
    <row r="16" spans="2:11" x14ac:dyDescent="0.35">
      <c r="B16" s="4">
        <v>14</v>
      </c>
      <c r="C16" s="62" t="s">
        <v>41</v>
      </c>
      <c r="D16" s="43" t="s">
        <v>28</v>
      </c>
      <c r="E16" s="5" t="s">
        <v>12</v>
      </c>
      <c r="F16" s="39" t="s">
        <v>13</v>
      </c>
      <c r="G16" s="39" t="s">
        <v>14</v>
      </c>
      <c r="H16" s="39" t="s">
        <v>172</v>
      </c>
      <c r="I16" s="39"/>
      <c r="J16" s="39"/>
      <c r="K16" s="6" t="s">
        <v>42</v>
      </c>
    </row>
    <row r="17" spans="2:11" x14ac:dyDescent="0.35">
      <c r="B17" s="4">
        <v>15</v>
      </c>
      <c r="C17" s="49" t="s">
        <v>238</v>
      </c>
      <c r="D17" s="7" t="s">
        <v>28</v>
      </c>
      <c r="E17" s="5" t="s">
        <v>12</v>
      </c>
      <c r="F17" s="39" t="s">
        <v>13</v>
      </c>
      <c r="G17" s="39" t="s">
        <v>14</v>
      </c>
      <c r="H17" s="39" t="s">
        <v>15</v>
      </c>
      <c r="I17" s="39"/>
      <c r="J17" s="39" t="s">
        <v>43</v>
      </c>
      <c r="K17" s="6" t="s">
        <v>42</v>
      </c>
    </row>
    <row r="18" spans="2:11" x14ac:dyDescent="0.35">
      <c r="B18" s="4">
        <v>16</v>
      </c>
      <c r="C18" s="49" t="s">
        <v>44</v>
      </c>
      <c r="D18" s="7" t="s">
        <v>28</v>
      </c>
      <c r="E18" s="49" t="s">
        <v>21</v>
      </c>
      <c r="F18" s="39" t="s">
        <v>13</v>
      </c>
      <c r="G18" s="39" t="s">
        <v>14</v>
      </c>
      <c r="H18" s="39" t="s">
        <v>15</v>
      </c>
      <c r="I18" s="39"/>
      <c r="J18" s="39" t="s">
        <v>45</v>
      </c>
      <c r="K18" s="6" t="s">
        <v>42</v>
      </c>
    </row>
    <row r="19" spans="2:11" x14ac:dyDescent="0.35">
      <c r="B19" s="4">
        <v>17</v>
      </c>
      <c r="C19" t="s">
        <v>185</v>
      </c>
      <c r="D19" t="s">
        <v>186</v>
      </c>
      <c r="E19" s="5" t="s">
        <v>21</v>
      </c>
      <c r="F19" t="s">
        <v>187</v>
      </c>
      <c r="G19" s="39" t="s">
        <v>14</v>
      </c>
      <c r="H19" s="39" t="s">
        <v>15</v>
      </c>
    </row>
    <row r="20" spans="2:11" x14ac:dyDescent="0.35">
      <c r="B20" s="4">
        <v>18</v>
      </c>
      <c r="C20" t="s">
        <v>188</v>
      </c>
      <c r="D20" t="s">
        <v>189</v>
      </c>
      <c r="E20" s="5" t="s">
        <v>12</v>
      </c>
      <c r="F20" t="s">
        <v>187</v>
      </c>
      <c r="G20" s="39" t="s">
        <v>14</v>
      </c>
      <c r="H20" s="39" t="s">
        <v>15</v>
      </c>
    </row>
    <row r="21" spans="2:11" x14ac:dyDescent="0.35">
      <c r="B21" s="4">
        <v>19</v>
      </c>
      <c r="C21" s="62" t="s">
        <v>190</v>
      </c>
      <c r="D21" s="7" t="s">
        <v>147</v>
      </c>
      <c r="E21" s="5" t="s">
        <v>12</v>
      </c>
      <c r="F21" s="39" t="s">
        <v>148</v>
      </c>
      <c r="G21" s="39" t="s">
        <v>14</v>
      </c>
      <c r="H21" s="39" t="s">
        <v>172</v>
      </c>
      <c r="I21" s="39">
        <v>22</v>
      </c>
      <c r="J21" s="39"/>
      <c r="K21" s="6"/>
    </row>
    <row r="22" spans="2:11" x14ac:dyDescent="0.35">
      <c r="B22" s="4">
        <v>20</v>
      </c>
      <c r="C22" s="50" t="s">
        <v>191</v>
      </c>
      <c r="D22" s="43" t="s">
        <v>141</v>
      </c>
      <c r="E22" s="5" t="s">
        <v>12</v>
      </c>
      <c r="F22" s="39" t="s">
        <v>139</v>
      </c>
      <c r="G22" s="39" t="s">
        <v>40</v>
      </c>
      <c r="H22" s="39" t="s">
        <v>15</v>
      </c>
      <c r="I22" s="39"/>
      <c r="J22" s="39"/>
      <c r="K22" s="6"/>
    </row>
  </sheetData>
  <autoFilter ref="B2:K15" xr:uid="{10CAD5BE-34D1-46BA-BE22-0C4998760259}">
    <filterColumn colId="1">
      <colorFilter dxfId="0"/>
    </filterColumn>
  </autoFilter>
  <dataValidations count="3">
    <dataValidation type="list" allowBlank="1" showInputMessage="1" showErrorMessage="1" sqref="E3:E1048576" xr:uid="{FD9275B2-AF67-47A6-A47C-28F000D8727D}">
      <formula1>"CALCULATED,COMMERCIAL,KPI_BASED,IGNORE"</formula1>
    </dataValidation>
    <dataValidation type="list" allowBlank="1" showInputMessage="1" showErrorMessage="1" sqref="G3:G1048576" xr:uid="{ED7F147B-301A-40D3-BCAC-E8CA59126709}">
      <formula1>"sum,max,min,avg,count"</formula1>
    </dataValidation>
    <dataValidation type="list" allowBlank="1" showInputMessage="1" showErrorMessage="1" sqref="H3:H1048576" xr:uid="{0A4A5894-BFC0-4CBA-9584-4A242613B01F}">
      <formula1>"year,mon,day,hour,min,sec"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9DB4-03AE-4EED-8101-78F76BA5AF43}">
  <dimension ref="B1:K22"/>
  <sheetViews>
    <sheetView tabSelected="1" topLeftCell="C1" workbookViewId="0">
      <selection activeCell="D17" sqref="D17"/>
    </sheetView>
  </sheetViews>
  <sheetFormatPr defaultRowHeight="14.5" x14ac:dyDescent="0.35"/>
  <cols>
    <col min="2" max="2" width="5.6328125" bestFit="1" customWidth="1"/>
    <col min="3" max="3" width="42.1796875" bestFit="1" customWidth="1"/>
    <col min="4" max="4" width="45.453125" bestFit="1" customWidth="1"/>
    <col min="5" max="5" width="35.90625" customWidth="1"/>
    <col min="6" max="6" width="29.7265625" customWidth="1"/>
    <col min="11" max="11" width="28.54296875" customWidth="1"/>
  </cols>
  <sheetData>
    <row r="1" spans="2:11" ht="15" thickBot="1" x14ac:dyDescent="0.4"/>
    <row r="2" spans="2:11" x14ac:dyDescent="0.35">
      <c r="B2" s="1" t="s">
        <v>0</v>
      </c>
      <c r="C2" s="2" t="s">
        <v>1</v>
      </c>
      <c r="D2" s="45" t="s">
        <v>2</v>
      </c>
      <c r="E2" s="2" t="s">
        <v>3</v>
      </c>
      <c r="F2" s="38" t="s">
        <v>4</v>
      </c>
      <c r="G2" s="38" t="s">
        <v>5</v>
      </c>
      <c r="H2" s="38" t="s">
        <v>6</v>
      </c>
      <c r="I2" s="38" t="s">
        <v>7</v>
      </c>
      <c r="J2" s="38" t="s">
        <v>8</v>
      </c>
      <c r="K2" s="3" t="s">
        <v>9</v>
      </c>
    </row>
    <row r="3" spans="2:11" x14ac:dyDescent="0.35">
      <c r="B3" s="4">
        <v>1</v>
      </c>
      <c r="C3" s="50" t="s">
        <v>169</v>
      </c>
      <c r="D3" s="46" t="s">
        <v>170</v>
      </c>
      <c r="E3" s="5" t="s">
        <v>12</v>
      </c>
      <c r="F3" s="39" t="s">
        <v>171</v>
      </c>
      <c r="G3" s="39" t="s">
        <v>14</v>
      </c>
      <c r="H3" s="39" t="s">
        <v>172</v>
      </c>
      <c r="I3" s="39"/>
      <c r="J3" s="39"/>
      <c r="K3" s="6"/>
    </row>
    <row r="4" spans="2:11" x14ac:dyDescent="0.35">
      <c r="B4" s="4">
        <v>2</v>
      </c>
      <c r="C4" s="42" t="s">
        <v>173</v>
      </c>
      <c r="D4" s="46"/>
      <c r="E4" s="5" t="s">
        <v>17</v>
      </c>
      <c r="F4" s="39"/>
      <c r="G4" s="39"/>
      <c r="H4" s="39"/>
      <c r="I4" s="39"/>
      <c r="J4" s="39"/>
      <c r="K4" s="6" t="s">
        <v>18</v>
      </c>
    </row>
    <row r="5" spans="2:11" ht="29" x14ac:dyDescent="0.35">
      <c r="B5" s="4">
        <v>3</v>
      </c>
      <c r="C5" s="42" t="s">
        <v>174</v>
      </c>
      <c r="D5" s="43" t="s">
        <v>175</v>
      </c>
      <c r="E5" s="5" t="s">
        <v>21</v>
      </c>
      <c r="F5" s="39"/>
      <c r="G5" s="39"/>
      <c r="H5" s="39"/>
      <c r="I5" s="39"/>
      <c r="J5" s="39"/>
      <c r="K5" s="6"/>
    </row>
    <row r="6" spans="2:11" x14ac:dyDescent="0.35">
      <c r="B6" s="4">
        <v>4</v>
      </c>
      <c r="C6" s="42" t="s">
        <v>27</v>
      </c>
      <c r="D6" s="43" t="s">
        <v>28</v>
      </c>
      <c r="E6" s="5" t="s">
        <v>21</v>
      </c>
      <c r="F6" s="39" t="s">
        <v>29</v>
      </c>
      <c r="G6" s="39" t="s">
        <v>40</v>
      </c>
      <c r="H6" s="39" t="s">
        <v>15</v>
      </c>
      <c r="I6" s="39"/>
      <c r="J6" s="39"/>
      <c r="K6" s="6" t="s">
        <v>30</v>
      </c>
    </row>
    <row r="7" spans="2:11" x14ac:dyDescent="0.35">
      <c r="B7" s="4">
        <v>5</v>
      </c>
      <c r="C7" s="42" t="s">
        <v>37</v>
      </c>
      <c r="D7" s="47"/>
      <c r="E7" s="5" t="s">
        <v>17</v>
      </c>
      <c r="F7" s="39"/>
      <c r="G7" s="39"/>
      <c r="H7" s="39"/>
      <c r="I7" s="39"/>
      <c r="J7" s="39"/>
      <c r="K7" s="6" t="s">
        <v>18</v>
      </c>
    </row>
    <row r="8" spans="2:11" ht="43.5" x14ac:dyDescent="0.35">
      <c r="B8" s="4">
        <v>6</v>
      </c>
      <c r="C8" s="42" t="s">
        <v>38</v>
      </c>
      <c r="D8" s="43" t="s">
        <v>176</v>
      </c>
      <c r="E8" s="5" t="s">
        <v>21</v>
      </c>
      <c r="F8" s="39"/>
      <c r="G8" s="39" t="s">
        <v>40</v>
      </c>
      <c r="H8" s="39" t="s">
        <v>15</v>
      </c>
      <c r="I8" s="39"/>
      <c r="J8" s="39"/>
      <c r="K8" s="6"/>
    </row>
    <row r="9" spans="2:11" x14ac:dyDescent="0.35">
      <c r="B9" s="4">
        <v>7</v>
      </c>
      <c r="C9" s="42" t="s">
        <v>46</v>
      </c>
      <c r="D9" s="47"/>
      <c r="E9" s="5" t="s">
        <v>17</v>
      </c>
      <c r="F9" s="39"/>
      <c r="G9" s="39"/>
      <c r="H9" s="39"/>
      <c r="I9" s="39"/>
      <c r="J9" s="39"/>
      <c r="K9" s="6" t="s">
        <v>18</v>
      </c>
    </row>
    <row r="10" spans="2:11" ht="43.5" x14ac:dyDescent="0.35">
      <c r="B10" s="4">
        <v>8</v>
      </c>
      <c r="C10" s="42" t="s">
        <v>47</v>
      </c>
      <c r="D10" s="43" t="s">
        <v>176</v>
      </c>
      <c r="E10" s="5" t="s">
        <v>21</v>
      </c>
      <c r="F10" s="39"/>
      <c r="G10" s="39" t="s">
        <v>14</v>
      </c>
      <c r="H10" s="39" t="s">
        <v>172</v>
      </c>
      <c r="I10" s="39"/>
      <c r="J10" s="39"/>
      <c r="K10" s="6"/>
    </row>
    <row r="11" spans="2:11" ht="43.5" x14ac:dyDescent="0.35">
      <c r="B11" s="4">
        <v>9</v>
      </c>
      <c r="C11" s="50" t="s">
        <v>177</v>
      </c>
      <c r="D11" s="43" t="s">
        <v>178</v>
      </c>
      <c r="E11" s="5" t="s">
        <v>12</v>
      </c>
      <c r="F11" s="40" t="s">
        <v>120</v>
      </c>
      <c r="G11" s="39" t="s">
        <v>14</v>
      </c>
      <c r="H11" s="39" t="s">
        <v>172</v>
      </c>
      <c r="I11" s="39"/>
      <c r="J11" s="39"/>
      <c r="K11" s="48" t="s">
        <v>179</v>
      </c>
    </row>
    <row r="12" spans="2:11" ht="29" x14ac:dyDescent="0.35">
      <c r="B12" s="4">
        <v>10</v>
      </c>
      <c r="C12" s="50" t="s">
        <v>180</v>
      </c>
      <c r="D12" s="43" t="s">
        <v>181</v>
      </c>
      <c r="E12" s="63" t="s">
        <v>12</v>
      </c>
      <c r="F12" s="39" t="s">
        <v>182</v>
      </c>
      <c r="G12" s="39" t="s">
        <v>14</v>
      </c>
      <c r="H12" s="39" t="s">
        <v>172</v>
      </c>
      <c r="I12" s="39"/>
      <c r="J12" s="39"/>
      <c r="K12" s="48" t="s">
        <v>183</v>
      </c>
    </row>
    <row r="13" spans="2:11" x14ac:dyDescent="0.35">
      <c r="B13" s="4">
        <v>11</v>
      </c>
      <c r="C13" s="42" t="s">
        <v>184</v>
      </c>
      <c r="D13" s="43" t="s">
        <v>138</v>
      </c>
      <c r="E13" s="5" t="s">
        <v>21</v>
      </c>
      <c r="F13" s="39" t="s">
        <v>139</v>
      </c>
      <c r="G13" s="39" t="s">
        <v>40</v>
      </c>
      <c r="H13" s="39" t="s">
        <v>15</v>
      </c>
      <c r="I13" s="39"/>
      <c r="J13" s="39"/>
      <c r="K13" s="6"/>
    </row>
    <row r="14" spans="2:11" x14ac:dyDescent="0.35">
      <c r="B14" s="4">
        <v>12</v>
      </c>
      <c r="C14" s="42" t="s">
        <v>153</v>
      </c>
      <c r="D14" s="43" t="s">
        <v>154</v>
      </c>
      <c r="E14" s="5" t="s">
        <v>21</v>
      </c>
      <c r="F14" s="39" t="s">
        <v>139</v>
      </c>
      <c r="G14" s="39" t="s">
        <v>40</v>
      </c>
      <c r="H14" s="39" t="s">
        <v>15</v>
      </c>
      <c r="I14" s="39"/>
      <c r="J14" s="39"/>
      <c r="K14" s="6"/>
    </row>
    <row r="15" spans="2:11" x14ac:dyDescent="0.35">
      <c r="B15" s="4">
        <v>13</v>
      </c>
      <c r="C15" s="42" t="s">
        <v>156</v>
      </c>
      <c r="D15" s="43" t="s">
        <v>157</v>
      </c>
      <c r="E15" s="5" t="s">
        <v>21</v>
      </c>
      <c r="F15" s="39" t="s">
        <v>139</v>
      </c>
      <c r="G15" s="39" t="s">
        <v>40</v>
      </c>
      <c r="H15" s="39" t="s">
        <v>15</v>
      </c>
      <c r="I15" s="39"/>
      <c r="J15" s="39"/>
      <c r="K15" s="6"/>
    </row>
    <row r="16" spans="2:11" x14ac:dyDescent="0.35">
      <c r="B16" s="4">
        <v>14</v>
      </c>
      <c r="C16" s="62" t="s">
        <v>41</v>
      </c>
      <c r="D16" s="43" t="s">
        <v>28</v>
      </c>
      <c r="E16" s="5" t="s">
        <v>12</v>
      </c>
      <c r="F16" s="39" t="s">
        <v>13</v>
      </c>
      <c r="G16" s="39" t="s">
        <v>14</v>
      </c>
      <c r="H16" s="39" t="s">
        <v>172</v>
      </c>
      <c r="I16" s="39"/>
      <c r="J16" s="39"/>
      <c r="K16" s="6" t="s">
        <v>42</v>
      </c>
    </row>
    <row r="17" spans="2:11" x14ac:dyDescent="0.35">
      <c r="B17" s="4">
        <v>15</v>
      </c>
      <c r="C17" s="49" t="s">
        <v>238</v>
      </c>
      <c r="D17" s="7" t="s">
        <v>28</v>
      </c>
      <c r="E17" s="5" t="s">
        <v>21</v>
      </c>
      <c r="F17" s="39" t="s">
        <v>13</v>
      </c>
      <c r="G17" s="39" t="s">
        <v>14</v>
      </c>
      <c r="H17" s="39" t="s">
        <v>15</v>
      </c>
      <c r="I17" s="39"/>
      <c r="J17" s="39" t="s">
        <v>43</v>
      </c>
      <c r="K17" s="6" t="s">
        <v>42</v>
      </c>
    </row>
    <row r="18" spans="2:11" x14ac:dyDescent="0.35">
      <c r="B18" s="4">
        <v>16</v>
      </c>
      <c r="C18" s="49" t="s">
        <v>44</v>
      </c>
      <c r="D18" s="7" t="s">
        <v>28</v>
      </c>
      <c r="E18" s="49" t="s">
        <v>12</v>
      </c>
      <c r="F18" s="39" t="s">
        <v>13</v>
      </c>
      <c r="G18" s="39" t="s">
        <v>14</v>
      </c>
      <c r="H18" s="39" t="s">
        <v>15</v>
      </c>
      <c r="I18" s="39"/>
      <c r="J18" s="39" t="s">
        <v>45</v>
      </c>
      <c r="K18" s="6" t="s">
        <v>42</v>
      </c>
    </row>
    <row r="19" spans="2:11" x14ac:dyDescent="0.35">
      <c r="B19" s="4">
        <v>17</v>
      </c>
      <c r="C19" t="s">
        <v>185</v>
      </c>
      <c r="D19" t="s">
        <v>186</v>
      </c>
      <c r="E19" s="5" t="s">
        <v>21</v>
      </c>
      <c r="F19" t="s">
        <v>187</v>
      </c>
      <c r="G19" s="39" t="s">
        <v>14</v>
      </c>
      <c r="H19" s="39" t="s">
        <v>15</v>
      </c>
    </row>
    <row r="20" spans="2:11" x14ac:dyDescent="0.35">
      <c r="B20" s="4">
        <v>18</v>
      </c>
      <c r="C20" t="s">
        <v>188</v>
      </c>
      <c r="D20" t="s">
        <v>189</v>
      </c>
      <c r="E20" s="5" t="s">
        <v>12</v>
      </c>
      <c r="F20" t="s">
        <v>187</v>
      </c>
      <c r="G20" s="39" t="s">
        <v>14</v>
      </c>
      <c r="H20" s="39" t="s">
        <v>15</v>
      </c>
    </row>
    <row r="21" spans="2:11" x14ac:dyDescent="0.35">
      <c r="B21" s="4">
        <v>19</v>
      </c>
      <c r="C21" s="62" t="s">
        <v>190</v>
      </c>
      <c r="D21" s="7" t="s">
        <v>147</v>
      </c>
      <c r="E21" s="5" t="s">
        <v>12</v>
      </c>
      <c r="F21" s="39" t="s">
        <v>148</v>
      </c>
      <c r="G21" s="39" t="s">
        <v>14</v>
      </c>
      <c r="H21" s="39" t="s">
        <v>172</v>
      </c>
      <c r="I21" s="39">
        <v>22</v>
      </c>
      <c r="J21" s="39"/>
      <c r="K21" s="6"/>
    </row>
    <row r="22" spans="2:11" x14ac:dyDescent="0.35">
      <c r="B22" s="4">
        <v>20</v>
      </c>
      <c r="C22" s="50" t="s">
        <v>191</v>
      </c>
      <c r="D22" s="43" t="s">
        <v>141</v>
      </c>
      <c r="E22" s="5" t="s">
        <v>12</v>
      </c>
      <c r="F22" s="39" t="s">
        <v>139</v>
      </c>
      <c r="G22" s="39" t="s">
        <v>40</v>
      </c>
      <c r="H22" s="39" t="s">
        <v>15</v>
      </c>
      <c r="I22" s="39"/>
      <c r="J22" s="39"/>
      <c r="K22" s="6"/>
    </row>
  </sheetData>
  <dataValidations count="3">
    <dataValidation type="list" allowBlank="1" showInputMessage="1" showErrorMessage="1" sqref="H3:H22" xr:uid="{7693E203-930E-4264-92D9-C51F115B7A4C}">
      <formula1>"year,mon,day,hour,min,sec"</formula1>
    </dataValidation>
    <dataValidation type="list" allowBlank="1" showInputMessage="1" showErrorMessage="1" sqref="G3:G22" xr:uid="{08311C62-A83B-44EC-9466-F6F44E95EF31}">
      <formula1>"sum,max,min,avg,count"</formula1>
    </dataValidation>
    <dataValidation type="list" allowBlank="1" showInputMessage="1" showErrorMessage="1" sqref="E3:E22" xr:uid="{FF772CE4-D0FD-43CA-9508-0DBDB4909EEC}">
      <formula1>"CALCULATED,COMMERCIAL,KPI_BASED,IGNORE"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9E4F-864A-44E9-87A1-F4EA690679B6}">
  <dimension ref="B1:I32"/>
  <sheetViews>
    <sheetView topLeftCell="B10" workbookViewId="0">
      <selection activeCell="E20" sqref="E20"/>
    </sheetView>
  </sheetViews>
  <sheetFormatPr defaultColWidth="9" defaultRowHeight="14.5" x14ac:dyDescent="0.35"/>
  <cols>
    <col min="2" max="2" width="10.1796875" bestFit="1" customWidth="1"/>
    <col min="3" max="3" width="29.7265625" bestFit="1" customWidth="1"/>
    <col min="4" max="4" width="8.453125" bestFit="1" customWidth="1"/>
    <col min="5" max="5" width="81.7265625" bestFit="1" customWidth="1"/>
    <col min="6" max="7" width="20.54296875" bestFit="1" customWidth="1"/>
    <col min="8" max="8" width="9.81640625" bestFit="1" customWidth="1"/>
    <col min="9" max="9" width="44.1796875" bestFit="1" customWidth="1"/>
  </cols>
  <sheetData>
    <row r="1" spans="2:9" ht="15" thickBot="1" x14ac:dyDescent="0.4"/>
    <row r="2" spans="2:9" x14ac:dyDescent="0.35">
      <c r="B2" s="15" t="s">
        <v>192</v>
      </c>
      <c r="C2" s="16" t="s">
        <v>193</v>
      </c>
      <c r="D2" s="16" t="s">
        <v>194</v>
      </c>
      <c r="E2" s="16" t="s">
        <v>195</v>
      </c>
      <c r="F2" s="18" t="s">
        <v>196</v>
      </c>
      <c r="G2" s="18" t="s">
        <v>197</v>
      </c>
      <c r="H2" s="18" t="s">
        <v>198</v>
      </c>
      <c r="I2" s="17" t="s">
        <v>199</v>
      </c>
    </row>
    <row r="3" spans="2:9" x14ac:dyDescent="0.35">
      <c r="B3" s="34" t="s">
        <v>200</v>
      </c>
      <c r="C3" s="28" t="s">
        <v>201</v>
      </c>
      <c r="D3" s="28" t="s">
        <v>202</v>
      </c>
      <c r="E3" s="28" t="s">
        <v>203</v>
      </c>
      <c r="F3" s="29" t="s">
        <v>204</v>
      </c>
      <c r="G3" s="29" t="s">
        <v>204</v>
      </c>
      <c r="H3" s="30"/>
      <c r="I3" s="35" t="s">
        <v>205</v>
      </c>
    </row>
    <row r="4" spans="2:9" x14ac:dyDescent="0.35">
      <c r="B4" s="10" t="s">
        <v>200</v>
      </c>
      <c r="C4" s="9" t="s">
        <v>206</v>
      </c>
      <c r="D4" s="9" t="s">
        <v>202</v>
      </c>
      <c r="E4" s="9" t="s">
        <v>203</v>
      </c>
      <c r="F4" s="19" t="s">
        <v>204</v>
      </c>
      <c r="G4" s="19" t="s">
        <v>204</v>
      </c>
      <c r="H4" s="20"/>
      <c r="I4" s="11" t="s">
        <v>205</v>
      </c>
    </row>
    <row r="5" spans="2:9" x14ac:dyDescent="0.35">
      <c r="B5" s="10" t="s">
        <v>200</v>
      </c>
      <c r="C5" s="9" t="s">
        <v>207</v>
      </c>
      <c r="D5" s="9" t="s">
        <v>202</v>
      </c>
      <c r="E5" s="9" t="s">
        <v>208</v>
      </c>
      <c r="F5" s="19">
        <v>100000</v>
      </c>
      <c r="G5" s="19">
        <v>100000</v>
      </c>
      <c r="H5" s="20" t="s">
        <v>204</v>
      </c>
      <c r="I5" s="11"/>
    </row>
    <row r="6" spans="2:9" x14ac:dyDescent="0.35">
      <c r="B6" s="10" t="s">
        <v>200</v>
      </c>
      <c r="C6" s="9" t="s">
        <v>209</v>
      </c>
      <c r="D6" s="9" t="s">
        <v>202</v>
      </c>
      <c r="E6" s="9" t="s">
        <v>208</v>
      </c>
      <c r="F6" s="19">
        <v>1500000</v>
      </c>
      <c r="G6" s="19">
        <v>1500000</v>
      </c>
      <c r="H6" s="20" t="s">
        <v>204</v>
      </c>
      <c r="I6" s="11"/>
    </row>
    <row r="7" spans="2:9" x14ac:dyDescent="0.35">
      <c r="B7" s="10" t="s">
        <v>200</v>
      </c>
      <c r="C7" s="9" t="s">
        <v>210</v>
      </c>
      <c r="D7" s="9" t="s">
        <v>202</v>
      </c>
      <c r="E7" s="9" t="s">
        <v>208</v>
      </c>
      <c r="F7" s="19">
        <v>3000000</v>
      </c>
      <c r="G7" s="19">
        <v>3000000</v>
      </c>
      <c r="H7" s="20" t="s">
        <v>204</v>
      </c>
      <c r="I7" s="11"/>
    </row>
    <row r="8" spans="2:9" x14ac:dyDescent="0.35">
      <c r="B8" s="10" t="s">
        <v>200</v>
      </c>
      <c r="C8" s="9" t="s">
        <v>211</v>
      </c>
      <c r="D8" s="9" t="s">
        <v>202</v>
      </c>
      <c r="E8" s="9" t="s">
        <v>208</v>
      </c>
      <c r="F8" s="19">
        <v>200000</v>
      </c>
      <c r="G8" s="19">
        <v>200000</v>
      </c>
      <c r="H8" s="20" t="s">
        <v>204</v>
      </c>
      <c r="I8" s="11"/>
    </row>
    <row r="9" spans="2:9" x14ac:dyDescent="0.35">
      <c r="B9" s="10" t="s">
        <v>200</v>
      </c>
      <c r="C9" s="9" t="s">
        <v>212</v>
      </c>
      <c r="D9" s="9" t="s">
        <v>202</v>
      </c>
      <c r="E9" s="9" t="s">
        <v>208</v>
      </c>
      <c r="F9" s="19">
        <v>1000</v>
      </c>
      <c r="G9" s="19">
        <v>1000</v>
      </c>
      <c r="H9" s="20" t="s">
        <v>204</v>
      </c>
      <c r="I9" s="11"/>
    </row>
    <row r="10" spans="2:9" x14ac:dyDescent="0.35">
      <c r="B10" s="10" t="s">
        <v>200</v>
      </c>
      <c r="C10" s="9" t="s">
        <v>213</v>
      </c>
      <c r="D10" s="9" t="s">
        <v>202</v>
      </c>
      <c r="E10" s="9" t="s">
        <v>203</v>
      </c>
      <c r="F10" s="19" t="s">
        <v>204</v>
      </c>
      <c r="G10" s="19" t="s">
        <v>204</v>
      </c>
      <c r="H10" s="20"/>
      <c r="I10" s="11" t="s">
        <v>205</v>
      </c>
    </row>
    <row r="11" spans="2:9" x14ac:dyDescent="0.35">
      <c r="B11" s="10" t="s">
        <v>200</v>
      </c>
      <c r="C11" s="9" t="s">
        <v>214</v>
      </c>
      <c r="D11" s="9" t="s">
        <v>202</v>
      </c>
      <c r="E11" s="9" t="s">
        <v>203</v>
      </c>
      <c r="F11" s="19" t="s">
        <v>204</v>
      </c>
      <c r="G11" s="19" t="s">
        <v>204</v>
      </c>
      <c r="H11" s="20"/>
      <c r="I11" s="11" t="s">
        <v>205</v>
      </c>
    </row>
    <row r="12" spans="2:9" x14ac:dyDescent="0.35">
      <c r="B12" s="10" t="s">
        <v>200</v>
      </c>
      <c r="C12" s="9" t="s">
        <v>215</v>
      </c>
      <c r="D12" s="9" t="s">
        <v>202</v>
      </c>
      <c r="E12" s="9" t="s">
        <v>216</v>
      </c>
      <c r="F12" s="19">
        <v>6250</v>
      </c>
      <c r="G12" s="19">
        <v>6250</v>
      </c>
      <c r="H12" s="20">
        <v>0.7</v>
      </c>
      <c r="I12" s="11"/>
    </row>
    <row r="13" spans="2:9" x14ac:dyDescent="0.35">
      <c r="B13" s="10" t="s">
        <v>200</v>
      </c>
      <c r="C13" s="9" t="s">
        <v>217</v>
      </c>
      <c r="D13" s="9" t="s">
        <v>202</v>
      </c>
      <c r="E13" s="9" t="s">
        <v>218</v>
      </c>
      <c r="F13" s="19">
        <v>500000</v>
      </c>
      <c r="G13" s="19">
        <v>500000</v>
      </c>
      <c r="H13" s="20">
        <v>0.7</v>
      </c>
      <c r="I13" s="11"/>
    </row>
    <row r="14" spans="2:9" x14ac:dyDescent="0.35">
      <c r="B14" s="10" t="s">
        <v>200</v>
      </c>
      <c r="C14" s="9" t="s">
        <v>219</v>
      </c>
      <c r="D14" s="9" t="s">
        <v>202</v>
      </c>
      <c r="E14" s="9" t="s">
        <v>220</v>
      </c>
      <c r="F14" s="19">
        <v>1800</v>
      </c>
      <c r="G14" s="19">
        <v>1800</v>
      </c>
      <c r="H14" s="20">
        <v>0.7</v>
      </c>
      <c r="I14" s="11"/>
    </row>
    <row r="15" spans="2:9" x14ac:dyDescent="0.35">
      <c r="B15" s="36" t="s">
        <v>200</v>
      </c>
      <c r="C15" s="31" t="s">
        <v>221</v>
      </c>
      <c r="D15" s="31" t="s">
        <v>202</v>
      </c>
      <c r="E15" s="31" t="s">
        <v>222</v>
      </c>
      <c r="F15" s="32">
        <v>200000</v>
      </c>
      <c r="G15" s="32">
        <v>200000</v>
      </c>
      <c r="H15" s="33" t="s">
        <v>204</v>
      </c>
      <c r="I15" s="37"/>
    </row>
    <row r="16" spans="2:9" x14ac:dyDescent="0.35">
      <c r="B16" s="34" t="s">
        <v>223</v>
      </c>
      <c r="C16" s="28" t="s">
        <v>173</v>
      </c>
      <c r="D16" s="28" t="s">
        <v>202</v>
      </c>
      <c r="E16" s="28" t="s">
        <v>224</v>
      </c>
      <c r="F16" s="29">
        <v>200</v>
      </c>
      <c r="G16" s="29">
        <v>200</v>
      </c>
      <c r="H16" s="30" t="s">
        <v>204</v>
      </c>
      <c r="I16" s="35" t="s">
        <v>225</v>
      </c>
    </row>
    <row r="17" spans="2:9" x14ac:dyDescent="0.35">
      <c r="B17" s="10" t="s">
        <v>223</v>
      </c>
      <c r="C17" s="9" t="s">
        <v>16</v>
      </c>
      <c r="D17" s="9" t="s">
        <v>202</v>
      </c>
      <c r="E17" s="9" t="s">
        <v>224</v>
      </c>
      <c r="F17" s="19">
        <v>200000</v>
      </c>
      <c r="G17" s="19">
        <v>200000</v>
      </c>
      <c r="H17" s="20" t="s">
        <v>204</v>
      </c>
      <c r="I17" s="11"/>
    </row>
    <row r="18" spans="2:9" x14ac:dyDescent="0.35">
      <c r="B18" s="10" t="s">
        <v>223</v>
      </c>
      <c r="C18" s="9" t="s">
        <v>37</v>
      </c>
      <c r="D18" s="9" t="s">
        <v>202</v>
      </c>
      <c r="E18" s="9" t="s">
        <v>224</v>
      </c>
      <c r="F18" s="19">
        <v>3600000</v>
      </c>
      <c r="G18" s="19">
        <v>3600000</v>
      </c>
      <c r="H18" s="20" t="s">
        <v>204</v>
      </c>
      <c r="I18" s="11" t="s">
        <v>226</v>
      </c>
    </row>
    <row r="19" spans="2:9" x14ac:dyDescent="0.35">
      <c r="B19" s="10" t="s">
        <v>223</v>
      </c>
      <c r="C19" s="9" t="s">
        <v>46</v>
      </c>
      <c r="D19" s="9" t="s">
        <v>202</v>
      </c>
      <c r="E19" s="9" t="s">
        <v>224</v>
      </c>
      <c r="F19" s="19">
        <v>3600000</v>
      </c>
      <c r="G19" s="19">
        <v>3600000</v>
      </c>
      <c r="H19" s="20"/>
      <c r="I19" s="11"/>
    </row>
    <row r="20" spans="2:9" x14ac:dyDescent="0.35">
      <c r="B20" s="10" t="s">
        <v>223</v>
      </c>
      <c r="C20" s="9" t="s">
        <v>227</v>
      </c>
      <c r="D20" s="9" t="s">
        <v>202</v>
      </c>
      <c r="E20" s="9" t="s">
        <v>224</v>
      </c>
      <c r="F20" s="19">
        <v>200</v>
      </c>
      <c r="G20" s="19">
        <v>200</v>
      </c>
      <c r="H20" s="20" t="s">
        <v>204</v>
      </c>
      <c r="I20" s="11" t="s">
        <v>228</v>
      </c>
    </row>
    <row r="21" spans="2:9" x14ac:dyDescent="0.35">
      <c r="B21" s="10" t="s">
        <v>223</v>
      </c>
      <c r="C21" s="9" t="s">
        <v>229</v>
      </c>
      <c r="D21" s="9" t="s">
        <v>202</v>
      </c>
      <c r="E21" s="9" t="s">
        <v>224</v>
      </c>
      <c r="F21" s="19"/>
      <c r="G21" s="19"/>
      <c r="H21" s="20"/>
      <c r="I21" s="11"/>
    </row>
    <row r="22" spans="2:9" x14ac:dyDescent="0.35">
      <c r="B22" s="10" t="s">
        <v>223</v>
      </c>
      <c r="C22" s="9" t="s">
        <v>230</v>
      </c>
      <c r="D22" s="9" t="s">
        <v>202</v>
      </c>
      <c r="E22" s="9" t="s">
        <v>203</v>
      </c>
      <c r="F22" s="19" t="s">
        <v>204</v>
      </c>
      <c r="G22" s="19" t="s">
        <v>204</v>
      </c>
      <c r="H22" s="20">
        <v>0.7</v>
      </c>
      <c r="I22" s="11"/>
    </row>
    <row r="23" spans="2:9" x14ac:dyDescent="0.35">
      <c r="B23" s="10" t="s">
        <v>223</v>
      </c>
      <c r="C23" s="9" t="s">
        <v>231</v>
      </c>
      <c r="D23" s="9" t="s">
        <v>202</v>
      </c>
      <c r="E23" s="9" t="s">
        <v>203</v>
      </c>
      <c r="F23" s="19" t="s">
        <v>204</v>
      </c>
      <c r="G23" s="19" t="s">
        <v>204</v>
      </c>
      <c r="H23" s="20">
        <v>0.85</v>
      </c>
      <c r="I23" s="11"/>
    </row>
    <row r="24" spans="2:9" x14ac:dyDescent="0.35">
      <c r="B24" s="10" t="s">
        <v>223</v>
      </c>
      <c r="C24" s="9" t="s">
        <v>232</v>
      </c>
      <c r="D24" s="9" t="s">
        <v>202</v>
      </c>
      <c r="E24" s="9" t="s">
        <v>203</v>
      </c>
      <c r="F24" s="19" t="s">
        <v>204</v>
      </c>
      <c r="G24" s="19" t="s">
        <v>204</v>
      </c>
      <c r="H24" s="20">
        <v>0.7</v>
      </c>
      <c r="I24" s="11"/>
    </row>
    <row r="25" spans="2:9" x14ac:dyDescent="0.35">
      <c r="B25" s="36" t="s">
        <v>223</v>
      </c>
      <c r="C25" s="31" t="s">
        <v>233</v>
      </c>
      <c r="D25" s="31" t="s">
        <v>202</v>
      </c>
      <c r="E25" s="31" t="s">
        <v>203</v>
      </c>
      <c r="F25" s="32" t="s">
        <v>204</v>
      </c>
      <c r="G25" s="32" t="s">
        <v>204</v>
      </c>
      <c r="H25" s="33">
        <v>0.85</v>
      </c>
      <c r="I25" s="37"/>
    </row>
    <row r="26" spans="2:9" x14ac:dyDescent="0.35">
      <c r="B26" s="23" t="s">
        <v>234</v>
      </c>
      <c r="C26" s="24" t="s">
        <v>16</v>
      </c>
      <c r="D26" s="24" t="s">
        <v>202</v>
      </c>
      <c r="E26" s="24" t="s">
        <v>224</v>
      </c>
      <c r="F26" s="25">
        <v>200000</v>
      </c>
      <c r="G26" s="25">
        <v>200000</v>
      </c>
      <c r="H26" s="26" t="s">
        <v>204</v>
      </c>
      <c r="I26" s="27"/>
    </row>
    <row r="27" spans="2:9" x14ac:dyDescent="0.35">
      <c r="B27" s="10" t="s">
        <v>234</v>
      </c>
      <c r="C27" s="9" t="s">
        <v>37</v>
      </c>
      <c r="D27" s="9" t="s">
        <v>202</v>
      </c>
      <c r="E27" s="9" t="s">
        <v>224</v>
      </c>
      <c r="F27" s="19">
        <v>3600000</v>
      </c>
      <c r="G27" s="19">
        <v>3600000</v>
      </c>
      <c r="H27" s="20" t="s">
        <v>204</v>
      </c>
      <c r="I27" s="11" t="s">
        <v>235</v>
      </c>
    </row>
    <row r="28" spans="2:9" x14ac:dyDescent="0.35">
      <c r="B28" s="10" t="s">
        <v>234</v>
      </c>
      <c r="C28" s="9" t="s">
        <v>46</v>
      </c>
      <c r="D28" s="9" t="s">
        <v>202</v>
      </c>
      <c r="E28" s="9" t="s">
        <v>224</v>
      </c>
      <c r="F28" s="19">
        <v>3600000</v>
      </c>
      <c r="G28" s="19">
        <v>3600000</v>
      </c>
      <c r="H28" s="20" t="s">
        <v>204</v>
      </c>
      <c r="I28" s="11"/>
    </row>
    <row r="29" spans="2:9" x14ac:dyDescent="0.35">
      <c r="B29" s="10" t="s">
        <v>234</v>
      </c>
      <c r="C29" s="9" t="s">
        <v>230</v>
      </c>
      <c r="D29" s="9" t="s">
        <v>202</v>
      </c>
      <c r="E29" s="9" t="s">
        <v>203</v>
      </c>
      <c r="F29" s="19" t="s">
        <v>204</v>
      </c>
      <c r="G29" s="19" t="s">
        <v>204</v>
      </c>
      <c r="H29" s="20">
        <v>0.7</v>
      </c>
      <c r="I29" s="11"/>
    </row>
    <row r="30" spans="2:9" x14ac:dyDescent="0.35">
      <c r="B30" s="10" t="s">
        <v>234</v>
      </c>
      <c r="C30" s="9" t="s">
        <v>231</v>
      </c>
      <c r="D30" s="9" t="s">
        <v>202</v>
      </c>
      <c r="E30" s="9" t="s">
        <v>203</v>
      </c>
      <c r="F30" s="19" t="s">
        <v>204</v>
      </c>
      <c r="G30" s="19" t="s">
        <v>204</v>
      </c>
      <c r="H30" s="20">
        <v>0.85</v>
      </c>
      <c r="I30" s="11"/>
    </row>
    <row r="31" spans="2:9" x14ac:dyDescent="0.35">
      <c r="B31" s="10" t="s">
        <v>234</v>
      </c>
      <c r="C31" s="9" t="s">
        <v>232</v>
      </c>
      <c r="D31" s="9" t="s">
        <v>202</v>
      </c>
      <c r="E31" s="9" t="s">
        <v>203</v>
      </c>
      <c r="F31" s="19" t="s">
        <v>204</v>
      </c>
      <c r="G31" s="19" t="s">
        <v>204</v>
      </c>
      <c r="H31" s="20">
        <v>0.7</v>
      </c>
      <c r="I31" s="11"/>
    </row>
    <row r="32" spans="2:9" ht="15" thickBot="1" x14ac:dyDescent="0.4">
      <c r="B32" s="12" t="s">
        <v>234</v>
      </c>
      <c r="C32" s="13" t="s">
        <v>233</v>
      </c>
      <c r="D32" s="13" t="s">
        <v>202</v>
      </c>
      <c r="E32" s="13" t="s">
        <v>203</v>
      </c>
      <c r="F32" s="21" t="s">
        <v>204</v>
      </c>
      <c r="G32" s="21" t="s">
        <v>204</v>
      </c>
      <c r="H32" s="22">
        <v>0.85</v>
      </c>
      <c r="I32" s="1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0A6B0D59A01645AD27203259274A3B" ma:contentTypeVersion="17" ma:contentTypeDescription="Create a new document." ma:contentTypeScope="" ma:versionID="6079a5ab7e433e6ef5693111e2549089">
  <xsd:schema xmlns:xsd="http://www.w3.org/2001/XMLSchema" xmlns:xs="http://www.w3.org/2001/XMLSchema" xmlns:p="http://schemas.microsoft.com/office/2006/metadata/properties" xmlns:ns2="71c5aaf6-e6ce-465b-b873-5148d2a4c105" xmlns:ns3="0784d9c9-6a1f-4c99-9379-18ce50dd8307" xmlns:ns4="601539a8-f5f3-4206-822d-48edd39d544e" targetNamespace="http://schemas.microsoft.com/office/2006/metadata/properties" ma:root="true" ma:fieldsID="ea5389587b797afa9a81d6c8ed9b3088" ns2:_="" ns3:_="" ns4:_="">
    <xsd:import namespace="71c5aaf6-e6ce-465b-b873-5148d2a4c105"/>
    <xsd:import namespace="0784d9c9-6a1f-4c99-9379-18ce50dd8307"/>
    <xsd:import namespace="601539a8-f5f3-4206-822d-48edd39d544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1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4d9c9-6a1f-4c99-9379-18ce50dd83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4c87397-5fc1-491e-85e7-d6110dbe9c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539a8-f5f3-4206-822d-48edd39d54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c58d841-a11d-4d58-8a14-fead658e0d37}" ma:internalName="TaxCatchAll" ma:showField="CatchAllData" ma:web="601539a8-f5f3-4206-822d-48edd39d54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SharedContentType xmlns="Microsoft.SharePoint.Taxonomy.ContentTypeSync" SourceId="34c87397-5fc1-491e-85e7-d6110dbe9cbd" ContentTypeId="0x0101" PreviousValue="false"/>
</file>

<file path=customXml/itemProps1.xml><?xml version="1.0" encoding="utf-8"?>
<ds:datastoreItem xmlns:ds="http://schemas.openxmlformats.org/officeDocument/2006/customXml" ds:itemID="{C7E6CC5F-B5C5-4DC2-910F-B49B6EFFFD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0784d9c9-6a1f-4c99-9379-18ce50dd8307"/>
    <ds:schemaRef ds:uri="601539a8-f5f3-4206-822d-48edd39d54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9D82C1-BD2B-4D60-A93F-325DFC03E3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D5FD98-63FB-48A2-B06D-7B568B598DA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D0BBBCB-527E-4ADA-B2B6-9A57F32AB4E4}">
  <ds:schemaRefs>
    <ds:schemaRef ds:uri="Microsoft.SharePoint.Taxonomy.ContentTypeSync"/>
  </ds:schemaRefs>
</ds:datastoreItem>
</file>

<file path=docMetadata/LabelInfo.xml><?xml version="1.0" encoding="utf-8"?>
<clbl:labelList xmlns:clbl="http://schemas.microsoft.com/office/2020/mipLabelMetadata">
  <clbl:label id="{b1aa2129-79ec-42c0-bfac-e5b7a0374572}" enabled="1" method="Privileged" siteId="{5d471751-9675-428d-917b-70f44f9630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KPI_FORMULAS_CPF_Node</vt:lpstr>
      <vt:lpstr>KPI_FORMULAS_UPF-1_Node</vt:lpstr>
      <vt:lpstr>KPI_FORMULAS_UPF-2_Node</vt:lpstr>
      <vt:lpstr>COMMERCIAL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Arun (Nokia - IN/Mumbai)</dc:creator>
  <cp:keywords/>
  <dc:description/>
  <cp:lastModifiedBy>Sumit Chutani (EXT-Nokia)</cp:lastModifiedBy>
  <cp:revision/>
  <dcterms:created xsi:type="dcterms:W3CDTF">2023-02-13T08:29:45Z</dcterms:created>
  <dcterms:modified xsi:type="dcterms:W3CDTF">2026-10-01T14:07:30Z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aa2129-79ec-42c0-bfac-e5b7a0374572_Enabled">
    <vt:lpwstr>true</vt:lpwstr>
  </property>
  <property fmtid="{D5CDD505-2E9C-101B-9397-08002B2CF9AE}" pid="3" name="MSIP_Label_b1aa2129-79ec-42c0-bfac-e5b7a0374572_SetDate">
    <vt:lpwstr>2023-02-14T15:45:44Z</vt:lpwstr>
  </property>
  <property fmtid="{D5CDD505-2E9C-101B-9397-08002B2CF9AE}" pid="4" name="MSIP_Label_b1aa2129-79ec-42c0-bfac-e5b7a0374572_Method">
    <vt:lpwstr>Privileged</vt:lpwstr>
  </property>
  <property fmtid="{D5CDD505-2E9C-101B-9397-08002B2CF9AE}" pid="5" name="MSIP_Label_b1aa2129-79ec-42c0-bfac-e5b7a0374572_Name">
    <vt:lpwstr>b1aa2129-79ec-42c0-bfac-e5b7a0374572</vt:lpwstr>
  </property>
  <property fmtid="{D5CDD505-2E9C-101B-9397-08002B2CF9AE}" pid="6" name="MSIP_Label_b1aa2129-79ec-42c0-bfac-e5b7a0374572_SiteId">
    <vt:lpwstr>5d471751-9675-428d-917b-70f44f9630b0</vt:lpwstr>
  </property>
  <property fmtid="{D5CDD505-2E9C-101B-9397-08002B2CF9AE}" pid="7" name="MSIP_Label_b1aa2129-79ec-42c0-bfac-e5b7a0374572_ActionId">
    <vt:lpwstr>b3a72528-4719-4955-86c2-271559c19aeb</vt:lpwstr>
  </property>
  <property fmtid="{D5CDD505-2E9C-101B-9397-08002B2CF9AE}" pid="8" name="MSIP_Label_b1aa2129-79ec-42c0-bfac-e5b7a0374572_ContentBits">
    <vt:lpwstr>0</vt:lpwstr>
  </property>
</Properties>
</file>